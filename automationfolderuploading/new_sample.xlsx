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defaultThemeVersion="124226"/>
  <mc:AlternateContent xmlns:mc="http://schemas.openxmlformats.org/markup-compatibility/2006">
    <mc:Choice Requires="x15">
      <x15ac:absPath xmlns:x15ac="http://schemas.microsoft.com/office/spreadsheetml/2010/11/ac" url="D:\working\waccache\PN1PEPF00007775\EXCELCNV\9c117d94-490b-4765-858b-46c628aa9adb\"/>
    </mc:Choice>
  </mc:AlternateContent>
  <xr:revisionPtr revIDLastSave="12" documentId="8_{B70DA332-6AE3-4DF3-B069-66ABFF7A2FD8}" xr6:coauthVersionLast="47" xr6:coauthVersionMax="47" xr10:uidLastSave="{7AAE563E-EF72-4B08-84A1-00C51C56066C}"/>
  <bookViews>
    <workbookView xWindow="-60" yWindow="-60" windowWidth="15480" windowHeight="11640" xr2:uid="{82A6C11C-7269-4208-865C-A7878425958C}"/>
  </bookViews>
  <sheets>
    <sheet name="Sheet1" sheetId="1" r:id="rId1"/>
    <sheet name="Sheet2" sheetId="4" r:id="rId2"/>
    <sheet name="Sheet4" sheetId="5" r:id="rId3"/>
    <sheet name="Sheet3" sheetId="8" r:id="rId4"/>
    <sheet name="Sheet5" sheetId="9" r:id="rId5"/>
    <sheet name="Sheet6" sheetId="10" r:id="rId6"/>
    <sheet name="Sheet7" sheetId="11" r:id="rId7"/>
    <sheet name="Sheet8" sheetId="12" r:id="rId8"/>
  </sheets>
  <externalReferences>
    <externalReference r:id="rId9"/>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28" i="1" l="1"/>
  <c r="F35" i="12"/>
  <c r="G111" i="1"/>
  <c r="G112" i="1"/>
  <c r="D16" i="10"/>
  <c r="F16" i="10"/>
  <c r="F45" i="12"/>
  <c r="F26" i="12"/>
  <c r="F25" i="12"/>
  <c r="F24" i="12"/>
  <c r="F23" i="12"/>
  <c r="F22" i="12"/>
  <c r="B19" i="12"/>
  <c r="F15" i="12"/>
  <c r="F14" i="12"/>
  <c r="F11" i="12"/>
  <c r="F10" i="12"/>
  <c r="F9" i="12"/>
  <c r="F8" i="12"/>
  <c r="F7" i="12"/>
  <c r="F5" i="12"/>
  <c r="F39" i="12"/>
  <c r="F38" i="12"/>
  <c r="F14" i="10"/>
  <c r="F10" i="10"/>
  <c r="I4" i="8"/>
  <c r="I5" i="8"/>
  <c r="H39" i="9"/>
  <c r="K25" i="9"/>
  <c r="G25" i="9"/>
  <c r="G23" i="9"/>
  <c r="G22" i="9"/>
  <c r="G20" i="9"/>
  <c r="G19" i="9"/>
  <c r="G18" i="9"/>
  <c r="G16" i="9"/>
  <c r="G15" i="9"/>
  <c r="L10" i="9"/>
  <c r="D10" i="9"/>
  <c r="H134" i="1"/>
  <c r="H15" i="8"/>
  <c r="H13" i="8"/>
  <c r="H11" i="8"/>
  <c r="E7" i="8"/>
  <c r="F111" i="1"/>
  <c r="F112" i="1"/>
  <c r="F113" i="1"/>
  <c r="F116" i="1"/>
  <c r="F117" i="1"/>
  <c r="F141" i="1"/>
  <c r="E217" i="1"/>
  <c r="F92" i="1"/>
  <c r="J92" i="1"/>
  <c r="D7" i="5"/>
  <c r="J7" i="5"/>
  <c r="F7" i="4"/>
  <c r="F8" i="4"/>
  <c r="F9" i="4"/>
  <c r="F12" i="4"/>
  <c r="F14" i="4"/>
  <c r="F16" i="4"/>
  <c r="F18" i="4"/>
  <c r="F20" i="4"/>
  <c r="I29" i="1"/>
  <c r="K29" i="1"/>
  <c r="I30" i="1"/>
  <c r="K30" i="1"/>
  <c r="G39" i="1"/>
  <c r="D13" i="10"/>
  <c r="F13" i="10"/>
  <c r="G128" i="1"/>
  <c r="G130" i="1"/>
  <c r="H128" i="1"/>
  <c r="H130" i="1"/>
  <c r="B135" i="1"/>
  <c r="G145" i="1"/>
  <c r="D15" i="10"/>
  <c r="F15" i="10"/>
  <c r="F155" i="1"/>
  <c r="F157" i="1"/>
  <c r="G119" i="1"/>
  <c r="F128" i="1"/>
  <c r="F130" i="1"/>
  <c r="H111" i="1"/>
  <c r="D12" i="10"/>
  <c r="F12" i="10"/>
  <c r="I111" i="1"/>
  <c r="I112" i="1"/>
  <c r="I113" i="1"/>
  <c r="I116" i="1"/>
  <c r="I130" i="1"/>
  <c r="H112" i="1"/>
  <c r="H113" i="1"/>
  <c r="H116" i="1"/>
  <c r="H135" i="1"/>
  <c r="H136" i="1"/>
  <c r="F142" i="1"/>
  <c r="D9" i="10"/>
  <c r="F9" i="10"/>
  <c r="F143" i="1"/>
  <c r="F146" i="1"/>
  <c r="F28" i="12"/>
  <c r="H131" i="1"/>
  <c r="I134" i="1"/>
  <c r="D11" i="10"/>
  <c r="F11" i="10"/>
  <c r="G113" i="1"/>
  <c r="G116" i="1"/>
  <c r="G117" i="1"/>
  <c r="D8" i="10"/>
  <c r="I135" i="1"/>
  <c r="F36" i="12"/>
  <c r="F31" i="12"/>
  <c r="G141" i="1"/>
  <c r="I136" i="1"/>
  <c r="G138" i="1"/>
  <c r="G142" i="1"/>
  <c r="G143" i="1"/>
  <c r="G146" i="1"/>
  <c r="G149" i="1"/>
  <c r="F41" i="12"/>
  <c r="F8" i="10"/>
  <c r="F21" i="10"/>
  <c r="F23" i="10"/>
  <c r="F25" i="10"/>
  <c r="D17" i="10"/>
  <c r="D20" i="10"/>
  <c r="C23" i="10"/>
  <c r="F24" i="10"/>
  <c r="F26" i="10"/>
</calcChain>
</file>

<file path=xl/sharedStrings.xml><?xml version="1.0" encoding="utf-8"?>
<sst xmlns="http://schemas.openxmlformats.org/spreadsheetml/2006/main" count="620" uniqueCount="466">
  <si>
    <t>Er. SUNIL KUMAR</t>
  </si>
  <si>
    <t># 304, Village: Daria,</t>
  </si>
  <si>
    <t>SURVEYOR &amp; LOSS ASSESSOR</t>
  </si>
  <si>
    <t>Near Railway Station, Chandigarh</t>
  </si>
  <si>
    <t>LICENCE NO: 73070   EXPIRY: 08.02.2028</t>
  </si>
  <si>
    <t>Mobile: 098761-35253</t>
  </si>
  <si>
    <t>PAN NO:  AQUPK1480C</t>
  </si>
  <si>
    <t>e-mail:- ksunilsurveyor@gmail.com</t>
  </si>
  <si>
    <t>Ref:</t>
  </si>
  <si>
    <t>SK/2025-26/OICL/116</t>
  </si>
  <si>
    <t>Date:</t>
  </si>
  <si>
    <t>19.02.2026</t>
  </si>
  <si>
    <t>PRIVATE &amp; CONFIDENTIAL SURVEY REPORT</t>
  </si>
  <si>
    <t>The Report is issued by me as Licenced surveyor without prejudice in respect of cause, nature &amp; extent of loss/damages and subject to the terms and conditions of Insurance Policy.</t>
  </si>
  <si>
    <t>INSURERS</t>
  </si>
  <si>
    <t>:</t>
  </si>
  <si>
    <t>The Oriental Insurance Co. Ltd.</t>
  </si>
  <si>
    <t>IDV=</t>
  </si>
  <si>
    <t>ADDRESS</t>
  </si>
  <si>
    <t>BO: SCO-52, Sector-42C, Chandigarh</t>
  </si>
  <si>
    <t>98131-</t>
  </si>
  <si>
    <t>Nitu</t>
  </si>
  <si>
    <t>udaanaaa</t>
  </si>
  <si>
    <t>Case allotted by The Oriental Ins. Co. Ltd., RO: SVC, Sector-17, Chd.</t>
  </si>
  <si>
    <r>
      <t xml:space="preserve">COVER NOTE/POLICY NO.   </t>
    </r>
    <r>
      <rPr>
        <b/>
        <sz val="10"/>
        <rFont val="Times New Roman"/>
        <family val="1"/>
      </rPr>
      <t xml:space="preserve">  </t>
    </r>
  </si>
  <si>
    <t>231203/31/2025/7146</t>
  </si>
  <si>
    <t>Period:</t>
  </si>
  <si>
    <t>22.03.2025 to 21.03.2026</t>
  </si>
  <si>
    <t>INSURED</t>
  </si>
  <si>
    <t>Mr JAGDEEP KUMAR</t>
  </si>
  <si>
    <t xml:space="preserve">ADDRESS </t>
  </si>
  <si>
    <t>2563, Sector-9-11, Hissar</t>
  </si>
  <si>
    <t>Gap Report with photos</t>
  </si>
  <si>
    <t>CONTACT NO.</t>
  </si>
  <si>
    <t>95967-72665</t>
  </si>
  <si>
    <t>NCB Verification</t>
  </si>
  <si>
    <t>Previous Policy</t>
  </si>
  <si>
    <t>HPA WITH</t>
  </si>
  <si>
    <t>SBI</t>
  </si>
  <si>
    <t>VEHICLE PARTICULARS</t>
  </si>
  <si>
    <t>RC Original Checked &amp; Found In Order</t>
  </si>
  <si>
    <t>Registration No.</t>
  </si>
  <si>
    <t>HR 20AY 7179</t>
  </si>
  <si>
    <t>Date of Registration issue</t>
  </si>
  <si>
    <t>12.04.2024</t>
  </si>
  <si>
    <t>Date of Registration expiry</t>
  </si>
  <si>
    <t>11.04.2039</t>
  </si>
  <si>
    <t>Physically Checked</t>
  </si>
  <si>
    <t>As Per RC</t>
  </si>
  <si>
    <t>As Per Ins.</t>
  </si>
  <si>
    <t>Chassis No</t>
  </si>
  <si>
    <t>033264</t>
  </si>
  <si>
    <t>Engine No</t>
  </si>
  <si>
    <t>Make &amp; Year of Manufacturer</t>
  </si>
  <si>
    <t>SKODA KUSHAQ STYLE 1.0 TSI AT/2023</t>
  </si>
  <si>
    <t>Type of Body</t>
  </si>
  <si>
    <t>Saloon</t>
  </si>
  <si>
    <t>Class of Vehicle</t>
  </si>
  <si>
    <t>LMVCAR</t>
  </si>
  <si>
    <t>Pre-Accident Condition</t>
  </si>
  <si>
    <t>Stated to be normal road worthy</t>
  </si>
  <si>
    <t>Registered Laden Weight</t>
  </si>
  <si>
    <t>----------------</t>
  </si>
  <si>
    <r>
      <t>Fuel used:</t>
    </r>
    <r>
      <rPr>
        <sz val="10"/>
        <rFont val="Times New Roman"/>
        <family val="1"/>
      </rPr>
      <t xml:space="preserve"> Petrol</t>
    </r>
  </si>
  <si>
    <t>Unladen Weight</t>
  </si>
  <si>
    <t>1277 Kg</t>
  </si>
  <si>
    <t>Colour:</t>
  </si>
  <si>
    <t>C Steel</t>
  </si>
  <si>
    <t xml:space="preserve">Seating Capacity </t>
  </si>
  <si>
    <t>Road Tax Paid Upto</t>
  </si>
  <si>
    <t>LTT</t>
  </si>
  <si>
    <t>Name of Regd. Owner as per RC</t>
  </si>
  <si>
    <t>DRIVER'S PARTICULARS</t>
  </si>
  <si>
    <t>DL Original Checked &amp; Found In Order</t>
  </si>
  <si>
    <t>Name of Driver</t>
  </si>
  <si>
    <t>DOB:</t>
  </si>
  <si>
    <t>07.01.1985</t>
  </si>
  <si>
    <t>Address</t>
  </si>
  <si>
    <t xml:space="preserve">Narnaund, </t>
  </si>
  <si>
    <t>City/State</t>
  </si>
  <si>
    <t>Hisar/Haryana</t>
  </si>
  <si>
    <t>Country:</t>
  </si>
  <si>
    <t>INDIA</t>
  </si>
  <si>
    <t xml:space="preserve">LICENCE NO. </t>
  </si>
  <si>
    <t>HR-21/52074</t>
  </si>
  <si>
    <t>(HR-2120080018996)</t>
  </si>
  <si>
    <t>Date of issue</t>
  </si>
  <si>
    <t>15.01.2008</t>
  </si>
  <si>
    <t>Valid Till</t>
  </si>
  <si>
    <t>14.01.2028</t>
  </si>
  <si>
    <t>Issuing Authority</t>
  </si>
  <si>
    <t>LA-Hansi (NT)</t>
  </si>
  <si>
    <t>Type of Licence</t>
  </si>
  <si>
    <t>Permanent for LMV/MCWG only</t>
  </si>
  <si>
    <t>ACCIDENT HISTORY</t>
  </si>
  <si>
    <t>Date of Accident</t>
  </si>
  <si>
    <t>13.02.2026 about 9:45 AM</t>
  </si>
  <si>
    <t>13.02.2026</t>
  </si>
  <si>
    <t>Place of Accident</t>
  </si>
  <si>
    <t>Sector-34, Chandigarh</t>
  </si>
  <si>
    <t>DETAIL OF SURVEY</t>
  </si>
  <si>
    <t>Date of Allotment of Survey</t>
  </si>
  <si>
    <t>14.02.2026</t>
  </si>
  <si>
    <t>Date and Time of Survey</t>
  </si>
  <si>
    <t>16.02.2026</t>
  </si>
  <si>
    <t>at 10 a.m.</t>
  </si>
  <si>
    <t>Date of Spot Survey Report Recd.</t>
  </si>
  <si>
    <t>Spot Survey not done.</t>
  </si>
  <si>
    <t>Person Present at the Time of Survey</t>
  </si>
  <si>
    <t>Repairer was present</t>
  </si>
  <si>
    <t>PLACE OF SURVEY</t>
  </si>
  <si>
    <t>Workshop</t>
  </si>
  <si>
    <t>M/s Krishna Auto Sales</t>
  </si>
  <si>
    <t>(Authorosed SKODA Dealer)</t>
  </si>
  <si>
    <t>Plot No. 177-H, Ind. Area, Phase-I, Chandigarh</t>
  </si>
  <si>
    <t>FIR DETAIL</t>
  </si>
  <si>
    <t>Nil (As Per Claim Form)</t>
  </si>
  <si>
    <t>INJURY/THIRD PARTY LOSS</t>
  </si>
  <si>
    <t>CAUSE AND NATURE OF ACCIDENT</t>
  </si>
  <si>
    <t>As stated in the Claim Form,</t>
  </si>
  <si>
    <t>" Insured was going to his office. On the way, another vehicle hit Insured's car from back right side. "</t>
  </si>
  <si>
    <t>OBERVATIONS/COMMENTS</t>
  </si>
  <si>
    <t>As per the instructions of The Oriental Insurance Co Ltd, RO:-Service Centre, Sector-17, Chandigarh. I visited the Repairer's workshop. The Vehicle was carefully inspected, its damages were noted and photographs taken. The Photographs in the Under Repair Condition were also taken. The damages are commensurate with the cause and nature of accident.</t>
  </si>
  <si>
    <t>MAIN DAMAGES</t>
  </si>
  <si>
    <t>Bumper Rear, etc,etc.</t>
  </si>
  <si>
    <t>NOTES:</t>
  </si>
  <si>
    <t>Case allotted by The Oriental Insurance Co Ltd, RO: Service Centre, Sector-17, Chandigarh</t>
  </si>
  <si>
    <t>The loss of damage or liability has arisen proximately caused by the insured peril.</t>
  </si>
  <si>
    <t>None of the exclusion under the policy has is caused loss of damage or liability.</t>
  </si>
  <si>
    <t>The salvage of the vehicle has been destroyed/crushed in the presence of the Repairer.</t>
  </si>
  <si>
    <t>Re-inspection too has been done by me. All the replacemnets of parts and repair job have been dully carried out.</t>
  </si>
  <si>
    <t>At the time of survey, I talked with Insured and discussed about the loss. About the loss, Insured told me the same which is mentioned in the Claim Form.</t>
  </si>
  <si>
    <t>Insured's vehicle has NIL DEPRECIATION Policy.</t>
  </si>
  <si>
    <t>DETAIL OF ASSESSMENT</t>
  </si>
  <si>
    <t xml:space="preserve">CUBIC CAPACITY </t>
  </si>
  <si>
    <t>SO, EXCESS CLAUSE (IN RS.)</t>
  </si>
  <si>
    <t>LIFE OF VEHICLE ( IN YEARS )</t>
  </si>
  <si>
    <t>SO, DEP. ON METAL (IN %)</t>
  </si>
  <si>
    <t>GSTIN (IN %) FOR PARTS</t>
  </si>
  <si>
    <t>GSTIN (IN %) FOR LABOUR</t>
  </si>
  <si>
    <t>GST 18%</t>
  </si>
  <si>
    <t>S.N.</t>
  </si>
  <si>
    <t>Parts Name</t>
  </si>
  <si>
    <t>Estimated</t>
  </si>
  <si>
    <t>Metal</t>
  </si>
  <si>
    <t>Plastic</t>
  </si>
  <si>
    <t>Glass</t>
  </si>
  <si>
    <t>Ret Strip</t>
  </si>
  <si>
    <t>N.A.</t>
  </si>
  <si>
    <t>Foam</t>
  </si>
  <si>
    <t>Cover</t>
  </si>
  <si>
    <t>Spoiler</t>
  </si>
  <si>
    <t>Piece</t>
  </si>
  <si>
    <t>Reflector</t>
  </si>
  <si>
    <t>Trim</t>
  </si>
  <si>
    <t>Bracket</t>
  </si>
  <si>
    <t>Sensor</t>
  </si>
  <si>
    <t>Washer</t>
  </si>
  <si>
    <t>SUB TOTAL</t>
  </si>
  <si>
    <r>
      <t xml:space="preserve">% ADD GST </t>
    </r>
    <r>
      <rPr>
        <sz val="8"/>
        <rFont val="Times New Roman"/>
        <family val="1"/>
      </rPr>
      <t>(9%CGST+9%SGST)</t>
    </r>
  </si>
  <si>
    <t>initial loss assessment</t>
  </si>
  <si>
    <t>LESS DEPRECIATION:</t>
  </si>
  <si>
    <t>% OF METAL &amp; 0% OF PLASTIC</t>
  </si>
  <si>
    <t>NET FOR PARTS</t>
  </si>
  <si>
    <t>TOTAL NET FOR PARTS</t>
  </si>
  <si>
    <t>TOTAL AMOUNT OF DEPRECIATION (In Rs):</t>
  </si>
  <si>
    <t>LABOUR DETAIL</t>
  </si>
  <si>
    <t>LABOUR ESTIMATED</t>
  </si>
  <si>
    <t>DESCRIPTION</t>
  </si>
  <si>
    <t>R/R</t>
  </si>
  <si>
    <t>DENTING</t>
  </si>
  <si>
    <t>C/W</t>
  </si>
  <si>
    <t>PAINTING</t>
  </si>
  <si>
    <t>Bumper Rear</t>
  </si>
  <si>
    <t>QTR Panel RH</t>
  </si>
  <si>
    <t>Tail Light RH &amp; LH</t>
  </si>
  <si>
    <t>TOTAL (R/R, DENTING, C/W, PAINTING)</t>
  </si>
  <si>
    <t>labour at 18%</t>
  </si>
  <si>
    <t xml:space="preserve">LABOUR </t>
  </si>
  <si>
    <t>Assessed</t>
  </si>
  <si>
    <t>NET FOR LABOUR</t>
  </si>
  <si>
    <t>TOTAL AMOUNT OF LABOUR ASSESSED (in Rs):</t>
  </si>
  <si>
    <t>SUMMARY</t>
  </si>
  <si>
    <t>PARTS</t>
  </si>
  <si>
    <t>LABOUR</t>
  </si>
  <si>
    <t xml:space="preserve"> </t>
  </si>
  <si>
    <t>ADD Towing charges</t>
  </si>
  <si>
    <t>Less  Compulsory Excess*</t>
  </si>
  <si>
    <t>NET PAYABLE</t>
  </si>
  <si>
    <t xml:space="preserve">LESS SALVAGE VALUE </t>
  </si>
  <si>
    <t>NET PAYABLE AMOUNT</t>
  </si>
  <si>
    <t>Report issued without prejudice or bias and is subject to the term and condition of the Policy and subject claim document being found in order. The Repairer/Insured has concurred with assessment.The damages are commensurate with the cause and nature of accident. The rates allowed are as per Authorised Dealer/Market rates which ever is less. Claim Form, Estimate, SF Bill, Photographs, Photocopies of RC, DL, C.Note, etc etc are enclosed.</t>
  </si>
  <si>
    <t>Physically Verified Major Assemblies</t>
  </si>
  <si>
    <t>Chassis Number</t>
  </si>
  <si>
    <t>Engine Number</t>
  </si>
  <si>
    <t xml:space="preserve">              SUNIL KUMAR</t>
  </si>
  <si>
    <r>
      <rPr>
        <sz val="10"/>
        <color rgb="FF000000"/>
        <rFont val="Times New Roman"/>
      </rPr>
      <t>PAYMENT MADE IN THE FAVOUR OF</t>
    </r>
    <r>
      <rPr>
        <b/>
        <sz val="10"/>
        <color rgb="FF000000"/>
        <rFont val="Times New Roman"/>
      </rPr>
      <t xml:space="preserve"> insured</t>
    </r>
  </si>
  <si>
    <t>CASHLESS CLAIM</t>
  </si>
  <si>
    <t xml:space="preserve"> expected data of completion of repair</t>
  </si>
  <si>
    <t>survey date + 10 days</t>
  </si>
  <si>
    <t>Email iD of insured</t>
  </si>
  <si>
    <t>same as surveyor</t>
  </si>
  <si>
    <t>remarks</t>
  </si>
  <si>
    <t>ok</t>
  </si>
  <si>
    <t>Payment to repairer = cashless</t>
  </si>
  <si>
    <t>payment to insured = reimbursement</t>
  </si>
  <si>
    <t>metal parts=age based</t>
  </si>
  <si>
    <t>rubber=50%</t>
  </si>
  <si>
    <t>glass=0%</t>
  </si>
  <si>
    <t>nil depericiation</t>
  </si>
  <si>
    <t>Invoice detail=Sheet 5</t>
  </si>
  <si>
    <t>Surveyor charges=Sheet 5</t>
  </si>
  <si>
    <t>Re-inspection report=Sheet 7</t>
  </si>
  <si>
    <t>Claim no</t>
  </si>
  <si>
    <t>2012013126C050003001</t>
  </si>
  <si>
    <t>Date of Registration/isurance</t>
  </si>
  <si>
    <t>MOTOR SURVEY REPORT</t>
  </si>
  <si>
    <t>INSURER</t>
  </si>
  <si>
    <t>VEHICLE REG. NO.</t>
  </si>
  <si>
    <t>C.NOTE/POLICY NO.</t>
  </si>
  <si>
    <t xml:space="preserve">PERIOD </t>
  </si>
  <si>
    <t>DATE OF LOSS</t>
  </si>
  <si>
    <t>PAYMENT TO BE MADE IN THE FAVOUR OF REPAIRER</t>
  </si>
  <si>
    <t>CLAIM NUMBER:-</t>
  </si>
  <si>
    <t>230011/31/2026/000</t>
  </si>
  <si>
    <t>DSR ON DATED:</t>
  </si>
  <si>
    <t>REPORT SUBMITTED BY:</t>
  </si>
  <si>
    <t xml:space="preserve">          # 304, Village: Daria,</t>
  </si>
  <si>
    <t xml:space="preserve">          Near Railway Station, Chandigarh</t>
  </si>
  <si>
    <t xml:space="preserve">          Mobile: 098761-35253</t>
  </si>
  <si>
    <t xml:space="preserve">          e-mail:- ksunilsurveyor@gmail.com</t>
  </si>
  <si>
    <t>Head Office, A-25/27, Asaf Ali Road, New Delhi-110002</t>
  </si>
  <si>
    <t>Vehicle No.:</t>
  </si>
  <si>
    <t>OWNER Name:</t>
  </si>
  <si>
    <t>Documents Check List</t>
  </si>
  <si>
    <t>DEP./CASH RECIECPT</t>
  </si>
  <si>
    <t>Insured Mobile No. on Claim Form /Intimation</t>
  </si>
  <si>
    <t>Intimation Letter and Correspondence related to it.</t>
  </si>
  <si>
    <t>Claim Form</t>
  </si>
  <si>
    <t>Surveyor Appointment Letter</t>
  </si>
  <si>
    <t>Policy Copy</t>
  </si>
  <si>
    <t>DL</t>
  </si>
  <si>
    <t>RC (Road Tax Receipt for Temp. RC)</t>
  </si>
  <si>
    <t xml:space="preserve">Insured ID Proof </t>
  </si>
  <si>
    <t>64VB</t>
  </si>
  <si>
    <t>NCB</t>
  </si>
  <si>
    <t>Staisfaction Voucher</t>
  </si>
  <si>
    <t>Spot Survey Report (if any)</t>
  </si>
  <si>
    <t>Claim Estimate</t>
  </si>
  <si>
    <t>Bill</t>
  </si>
  <si>
    <t>Approval for supplementry estimate (if any)</t>
  </si>
  <si>
    <t>Final Survey Report</t>
  </si>
  <si>
    <t>Document Check Lists</t>
  </si>
  <si>
    <t>Pre Inspection</t>
  </si>
  <si>
    <t>Photographs</t>
  </si>
  <si>
    <t>Damage Photos</t>
  </si>
  <si>
    <t>Under Repair Photo</t>
  </si>
  <si>
    <t>Reinspection Photos</t>
  </si>
  <si>
    <t>Additional Documents for NET OF SALVAGE</t>
  </si>
  <si>
    <t>Interim Report</t>
  </si>
  <si>
    <t>Loan Statement From Bank</t>
  </si>
  <si>
    <t>DL &amp; RC Verification</t>
  </si>
  <si>
    <t>Consent Letter from Insured</t>
  </si>
  <si>
    <t>PAN Card</t>
  </si>
  <si>
    <t>Invoice of Vehicle</t>
  </si>
  <si>
    <t>Three Online quotes for wreck</t>
  </si>
  <si>
    <t>Affidavit in case no DDR/FIR/SPOT</t>
  </si>
  <si>
    <t>PAYMENT MADE IN THE FAVOUR OF REPAIRER</t>
  </si>
  <si>
    <t>ANNEXURE II</t>
  </si>
  <si>
    <t xml:space="preserve">             Surveyor's Performance Appraisal (SPA) Form</t>
  </si>
  <si>
    <t>(to be filled in by the Surveyor and submitted along with Survey Report)</t>
  </si>
  <si>
    <t>Office Code</t>
  </si>
  <si>
    <t>Policy No.</t>
  </si>
  <si>
    <t>Name of Office/Address</t>
  </si>
  <si>
    <t>Insured</t>
  </si>
  <si>
    <t>Name of Surveyor</t>
  </si>
  <si>
    <t>Mr SUNIL KUMAR</t>
  </si>
  <si>
    <t>Claim No.</t>
  </si>
  <si>
    <t>Survey Report No.</t>
  </si>
  <si>
    <t>IIISLA Membership No./</t>
  </si>
  <si>
    <t>IRDAI Licence No.</t>
  </si>
  <si>
    <t>Valid Upto</t>
  </si>
  <si>
    <t>08.02.2028</t>
  </si>
  <si>
    <t>Date of Loss:</t>
  </si>
  <si>
    <t>Date of Appointment of Surveyor</t>
  </si>
  <si>
    <t>3.    a</t>
  </si>
  <si>
    <t>Date of First Visit to site</t>
  </si>
  <si>
    <t xml:space="preserve">       b</t>
  </si>
  <si>
    <t>Date of Submission of 'Intial Loss Advice'</t>
  </si>
  <si>
    <t>Dates of subsequent visits</t>
  </si>
  <si>
    <t>Date of submission of Interim Report, if any</t>
  </si>
  <si>
    <t>Date of submission of Final Report</t>
  </si>
  <si>
    <t>Reasons for delay in submission of report, if any</t>
  </si>
  <si>
    <t xml:space="preserve">Whether consent for assessment obtained from the Insured / Claimant        </t>
  </si>
  <si>
    <t>Yes/No</t>
  </si>
  <si>
    <t>Number of times documents were requisitioned from the Insured (excluding reminders)</t>
  </si>
  <si>
    <t>(if more than 2 times, reason thereof)</t>
  </si>
  <si>
    <t>Remarks</t>
  </si>
  <si>
    <t>Place:_______________________</t>
  </si>
  <si>
    <t>Date:_______________________</t>
  </si>
  <si>
    <t>(Signature of the Surveyor)</t>
  </si>
  <si>
    <t>For Office use:-</t>
  </si>
  <si>
    <t>(to be filed in by the Claim Officer alongside settlement of each claim)</t>
  </si>
  <si>
    <t>Parameters</t>
  </si>
  <si>
    <t>Primary Claim Dealin</t>
  </si>
  <si>
    <t>Score</t>
  </si>
  <si>
    <t xml:space="preserve">     Officer</t>
  </si>
  <si>
    <t>Timely submission of survey report</t>
  </si>
  <si>
    <t>1-10</t>
  </si>
  <si>
    <t>(Please refer to Policy for marking)</t>
  </si>
  <si>
    <t>Error free and unambiguous survey report-</t>
  </si>
  <si>
    <t>Fair assessment</t>
  </si>
  <si>
    <t>Quick Response to queries raised, if any</t>
  </si>
  <si>
    <t>Suggenstion for risk improvement</t>
  </si>
  <si>
    <t>Feedback from the customer</t>
  </si>
  <si>
    <t>Ten point scale - Outstanding being (10) and Poor being ( 1 ):</t>
  </si>
  <si>
    <t>Signature:</t>
  </si>
  <si>
    <t>Name:</t>
  </si>
  <si>
    <t>Designation:</t>
  </si>
  <si>
    <t>Office:</t>
  </si>
  <si>
    <t xml:space="preserve">Date: </t>
  </si>
  <si>
    <t xml:space="preserve"># 304, Village: Daria, </t>
  </si>
  <si>
    <t>LICENCE NO: 73070  EXPIRY: 08.02.2028</t>
  </si>
  <si>
    <t>E-mail: ksunilsurveyor@gmail.com</t>
  </si>
  <si>
    <t>SURVEY FEE BILL</t>
  </si>
  <si>
    <t xml:space="preserve">                                                                                                 </t>
  </si>
  <si>
    <t>VEHICLE/ITEM</t>
  </si>
  <si>
    <t>C NOTE/POLICY NO.</t>
  </si>
  <si>
    <t>SURVEY FEE</t>
  </si>
  <si>
    <t>Rs</t>
  </si>
  <si>
    <t>CONVEYANCE CHARGES</t>
  </si>
  <si>
    <t>PHOTOGRAPHS</t>
  </si>
  <si>
    <t>(Digital Photographs)</t>
  </si>
  <si>
    <t>DAILY ALLOWANCE</t>
  </si>
  <si>
    <t>MISCELLANEOUS</t>
  </si>
  <si>
    <t>----------------------</t>
  </si>
  <si>
    <t>TOTAL</t>
  </si>
  <si>
    <t>INLYAS CODE:</t>
  </si>
  <si>
    <t>GH0000046246</t>
  </si>
  <si>
    <r>
      <t xml:space="preserve">     </t>
    </r>
    <r>
      <rPr>
        <b/>
        <u/>
        <sz val="10"/>
        <rFont val="Times New Roman"/>
        <family val="1"/>
      </rPr>
      <t>FOR NEFT PAYMENT</t>
    </r>
  </si>
  <si>
    <t>(SUNIL KUMAR)</t>
  </si>
  <si>
    <t xml:space="preserve">     BANK ACCOUNT DETAILS</t>
  </si>
  <si>
    <t xml:space="preserve">     BANK NAME:</t>
  </si>
  <si>
    <t>BANK OF INDIA</t>
  </si>
  <si>
    <t xml:space="preserve">     A/C NUMBER:</t>
  </si>
  <si>
    <t>620110110000751</t>
  </si>
  <si>
    <t xml:space="preserve">     A/C TYPE:</t>
  </si>
  <si>
    <t>SAVING</t>
  </si>
  <si>
    <t xml:space="preserve">     IFSC CODE:</t>
  </si>
  <si>
    <t>BKID0006201</t>
  </si>
  <si>
    <t xml:space="preserve">     MICRO CODE:</t>
  </si>
  <si>
    <t>160013003</t>
  </si>
  <si>
    <t>ITEM WISE BREAK UP DETAILS IN SETTLEMENT SHEET</t>
  </si>
  <si>
    <t>ITEM DESCRIPTION</t>
  </si>
  <si>
    <t>NET AMOUNT (AFTER DEP.)</t>
  </si>
  <si>
    <t>GST %</t>
  </si>
  <si>
    <t>GST AMOUNT</t>
  </si>
  <si>
    <t>Labour</t>
  </si>
  <si>
    <t>Parts Metallic</t>
  </si>
  <si>
    <t>Parts Non-Metallic</t>
  </si>
  <si>
    <t>Other</t>
  </si>
  <si>
    <t>Less: Excess Clause @18%</t>
  </si>
  <si>
    <t>Less: Salvage Amount @18%</t>
  </si>
  <si>
    <t>Total</t>
  </si>
  <si>
    <t>GST Excess</t>
  </si>
  <si>
    <t>GST Salvage</t>
  </si>
  <si>
    <t>G.TOTAL</t>
  </si>
  <si>
    <t>GST Amount Entered in Settlement Screen</t>
  </si>
  <si>
    <t>Settle Amount</t>
  </si>
  <si>
    <t>GST</t>
  </si>
  <si>
    <t>EST_72 Ptovision in INLIAS</t>
  </si>
  <si>
    <t>Rs.</t>
  </si>
  <si>
    <t>NET LIABILITY</t>
  </si>
  <si>
    <t>SK/2024-25/OICL/058</t>
  </si>
  <si>
    <t>16.06.2024</t>
  </si>
  <si>
    <t>PRIVATE &amp; CONFIDENTIAL MOTOR RE-INSPECTION SURVEY REPORT</t>
  </si>
  <si>
    <t>The report is issued by me as Licenced surveyor without prejudice in respect of cause, nature &amp; extent of loss/damages and subject to the terms and conditions of Insurance Policy.</t>
  </si>
  <si>
    <t xml:space="preserve">To, </t>
  </si>
  <si>
    <t xml:space="preserve">The Oriental Insurance Co. Ltd., </t>
  </si>
  <si>
    <t>RO: SVC, Sector-17, Chandigarh.</t>
  </si>
  <si>
    <t xml:space="preserve">Sub: </t>
  </si>
  <si>
    <t xml:space="preserve">Reinspection of </t>
  </si>
  <si>
    <t>CH 01CH  8815</t>
  </si>
  <si>
    <t xml:space="preserve">A/C </t>
  </si>
  <si>
    <t>Mr YUDHISHTER</t>
  </si>
  <si>
    <t xml:space="preserve">         Date of Accident:</t>
  </si>
  <si>
    <t>03.06.2024</t>
  </si>
  <si>
    <t>C. No.</t>
  </si>
  <si>
    <t>242596/31/2024/TMP/185254</t>
  </si>
  <si>
    <t>01.03.2024 to 28.02.2025</t>
  </si>
  <si>
    <t>Sir,</t>
  </si>
  <si>
    <t xml:space="preserve">In pursuance to the instructions received from your office, the undersigned went to the workshop, M/s RSA Dynamic Motors LLP, Zirakpur for re-inspection of the vehicle under claim. Undersigned inspected the vehicle on 13.06.2024  and arranged  few photographs. </t>
  </si>
  <si>
    <t xml:space="preserve">Fllowing are the details: </t>
  </si>
  <si>
    <t>Whether all parts allowed for replacement by final survey report have been actually been replaced</t>
  </si>
  <si>
    <t>with the new parts. The details are as under:</t>
  </si>
  <si>
    <t>Particulars</t>
  </si>
  <si>
    <t>Salvage</t>
  </si>
  <si>
    <t>Frt Bumper</t>
  </si>
  <si>
    <t>Replaced</t>
  </si>
  <si>
    <t>Examined</t>
  </si>
  <si>
    <t>Fender LH</t>
  </si>
  <si>
    <t>Fender Cladding LH</t>
  </si>
  <si>
    <t>Wheel Arch Frt LH Bumper</t>
  </si>
  <si>
    <t>Rear Bumper</t>
  </si>
  <si>
    <t>Tailgater Tail Lamp LH</t>
  </si>
  <si>
    <t>Bracket Frt LH</t>
  </si>
  <si>
    <t>Tail Lamp Outer LH</t>
  </si>
  <si>
    <t>Salvage:</t>
  </si>
  <si>
    <t>The salvage has been checked and found to contain the replaced parts.</t>
  </si>
  <si>
    <t>Labour/Repair</t>
  </si>
  <si>
    <t>The Repair have been carried out as per final survey report and car was in proper running condition at</t>
  </si>
  <si>
    <t>the time of re-inspection.</t>
  </si>
  <si>
    <t xml:space="preserve">In the view of above re-inspection, what is the total quantam of reduction in the liability. The reduction in liability is nil. </t>
  </si>
  <si>
    <t>The re-inspection report is " without prejudice"</t>
  </si>
  <si>
    <t>Thanking you</t>
  </si>
  <si>
    <t>Enclosures:</t>
  </si>
  <si>
    <t>Final survey report</t>
  </si>
  <si>
    <t xml:space="preserve">Re-inspection report &amp; photographs </t>
  </si>
  <si>
    <t>Survey fee bill</t>
  </si>
  <si>
    <t>I have physically verified the following Major Assembilies:</t>
  </si>
  <si>
    <t>Chassis No.</t>
  </si>
  <si>
    <t>Engine No.</t>
  </si>
  <si>
    <t xml:space="preserve">          SUMMARY ASSESSMENT FOR SETTLEMENT OF CLAIM</t>
  </si>
  <si>
    <t>SURVEY REPORT NO.</t>
  </si>
  <si>
    <t>CLAIM NO. ALLOTTED ONLINE BY DEALER</t>
  </si>
  <si>
    <t>242596/31/2025/TMPC/14752</t>
  </si>
  <si>
    <t>NAME OF INSURED</t>
  </si>
  <si>
    <t>POLICY NO.</t>
  </si>
  <si>
    <t>PERIOD OF INSURANCE</t>
  </si>
  <si>
    <t>VEHICLE REGISTRATION NO.</t>
  </si>
  <si>
    <t>MAKE OF VEHICLE &amp; MODEL</t>
  </si>
  <si>
    <t>ACCIDENT PARTICULARS</t>
  </si>
  <si>
    <t>DATE &amp; TIME OF ACCIDENT</t>
  </si>
  <si>
    <t>PLACE OF ACCIDENT</t>
  </si>
  <si>
    <t>POLICE REPORT- FIR/DDR NO. (IF ANY)</t>
  </si>
  <si>
    <t>Nil ( As per Claim Form )</t>
  </si>
  <si>
    <t>CAUSE OF  ACCIDENT</t>
  </si>
  <si>
    <t>DRIVING LICENCE PARTICULARS</t>
  </si>
  <si>
    <t>NAME OF DRIVER</t>
  </si>
  <si>
    <t>DRIVING LICENCE NO.</t>
  </si>
  <si>
    <t>VALIDITY OF THE LICENCE</t>
  </si>
  <si>
    <t>LICENCE ISSUING AUTHORITY</t>
  </si>
  <si>
    <t>TYPE OF LICENCE</t>
  </si>
  <si>
    <t xml:space="preserve">TOTAL ESTIMATE OF LOSS (INCUDING LABOUR &amp; PARTS) </t>
  </si>
  <si>
    <t>PARTS (METAL, RUBBER/GLASS &amp; GLASS)</t>
  </si>
  <si>
    <t>INCLUDING VAT (IF APPLICABLE)</t>
  </si>
  <si>
    <t>LABOUR- R/R, CUTTING/WELDING, ETC.</t>
  </si>
  <si>
    <t>COST OF PAINT (IF ASSESSED SEPARATELY)</t>
  </si>
  <si>
    <t>PAINTING CHARGES</t>
  </si>
  <si>
    <t>GST (ON LABOUR)</t>
  </si>
  <si>
    <t>TOWING CHARGES IF ANY</t>
  </si>
  <si>
    <t>SALVAGE-IF DEDUCTABLE</t>
  </si>
  <si>
    <t>EXCESS CLAUSE-DEDUCTABLE</t>
  </si>
  <si>
    <t>ANY OTHER ASSESSMENT (DIFF.)</t>
  </si>
  <si>
    <t>NET PAYABLE AMOUNT (in Rs)</t>
  </si>
  <si>
    <t>DETAIL OF SURVEY FEE</t>
  </si>
  <si>
    <t>PROFESSIONAL FESS</t>
  </si>
  <si>
    <t>COVEYANCE &amp; PHOTOGRAPHS CHARGES</t>
  </si>
  <si>
    <t>GST (IF CHARGEABLE)</t>
  </si>
  <si>
    <t>SIGNATURE OF SURVEYOR (WITH SEAL)</t>
  </si>
  <si>
    <t>FOR OFFICE USE:</t>
  </si>
  <si>
    <t>REMARKS/RECOMMENDATIONS</t>
  </si>
  <si>
    <t>AGREED &amp; RECOMMENDED FOR</t>
  </si>
  <si>
    <t>Rs………………………………………</t>
  </si>
  <si>
    <t>SIGNATURE (Name &amp; Designation)</t>
  </si>
  <si>
    <t>AUTHORISED SIGNATURE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</si>
</sst>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m/d/yyyy;@"/>
    <numFmt numFmtId="165" formatCode="[$-409]mmmmm\-yy;@"/>
  </numFmts>
  <fonts count="25">
    <font>
      <sz val="9"/>
      <name val="Times New Roman"/>
    </font>
    <font>
      <sz val="9"/>
      <name val="Times New Roman"/>
    </font>
    <font>
      <sz val="8"/>
      <name val="Times New Roman"/>
      <family val="1"/>
    </font>
    <font>
      <sz val="10"/>
      <name val="Times New Roman"/>
      <family val="1"/>
    </font>
    <font>
      <b/>
      <sz val="10"/>
      <name val="Times New Roman"/>
      <family val="1"/>
    </font>
    <font>
      <b/>
      <sz val="11"/>
      <name val="Times New Roman"/>
      <family val="1"/>
    </font>
    <font>
      <b/>
      <u/>
      <sz val="10"/>
      <name val="Times New Roman"/>
      <family val="1"/>
    </font>
    <font>
      <b/>
      <sz val="11"/>
      <color indexed="8"/>
      <name val="Times New Roman"/>
      <family val="1"/>
    </font>
    <font>
      <u/>
      <sz val="10"/>
      <name val="Times New Roman"/>
      <family val="1"/>
    </font>
    <font>
      <b/>
      <sz val="12"/>
      <name val="Times New Roman"/>
      <family val="1"/>
    </font>
    <font>
      <sz val="12"/>
      <name val="Times New Roman"/>
      <family val="1"/>
    </font>
    <font>
      <sz val="9"/>
      <name val="Times New Roman"/>
      <family val="1"/>
    </font>
    <font>
      <b/>
      <u/>
      <sz val="14"/>
      <name val="Times New Roman"/>
      <family val="1"/>
    </font>
    <font>
      <sz val="11"/>
      <name val="Times New Roman"/>
      <family val="1"/>
    </font>
    <font>
      <b/>
      <sz val="14"/>
      <name val="Times New Roman"/>
      <family val="1"/>
    </font>
    <font>
      <b/>
      <sz val="18"/>
      <name val="Times New Roman"/>
      <family val="1"/>
    </font>
    <font>
      <sz val="14"/>
      <name val="Times New Roman"/>
      <family val="1"/>
    </font>
    <font>
      <b/>
      <u/>
      <sz val="11"/>
      <name val="Times New Roman"/>
      <family val="1"/>
    </font>
    <font>
      <b/>
      <sz val="11"/>
      <color indexed="9"/>
      <name val="Times New Roman"/>
      <family val="1"/>
    </font>
    <font>
      <sz val="10"/>
      <color indexed="9"/>
      <name val="Times New Roman"/>
      <family val="1"/>
    </font>
    <font>
      <sz val="11"/>
      <color rgb="FF1F497D"/>
      <name val="Times New Roman"/>
      <family val="1"/>
    </font>
    <font>
      <sz val="10"/>
      <color rgb="FFFF0000"/>
      <name val="Times New Roman"/>
      <family val="1"/>
    </font>
    <font>
      <b/>
      <sz val="10"/>
      <color rgb="FFFF0000"/>
      <name val="Times New Roman"/>
      <family val="1"/>
    </font>
    <font>
      <sz val="10"/>
      <color rgb="FF000000"/>
      <name val="Times New Roman"/>
    </font>
    <font>
      <b/>
      <sz val="10"/>
      <color rgb="FF000000"/>
      <name val="Times New Roman"/>
    </font>
  </fonts>
  <fills count="6">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0"/>
        <bgColor indexed="64"/>
      </patternFill>
    </fill>
  </fills>
  <borders count="33">
    <border>
      <left/>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311">
    <xf numFmtId="0" fontId="0" fillId="0" borderId="0" xfId="0"/>
    <xf numFmtId="0" fontId="3" fillId="0" borderId="0" xfId="0" applyFont="1"/>
    <xf numFmtId="0" fontId="3" fillId="0" borderId="0" xfId="0" applyFont="1" applyBorder="1"/>
    <xf numFmtId="0" fontId="3" fillId="0" borderId="1" xfId="0" applyFont="1" applyBorder="1"/>
    <xf numFmtId="0" fontId="4" fillId="0" borderId="0" xfId="0" applyFont="1" applyBorder="1"/>
    <xf numFmtId="0" fontId="3" fillId="0" borderId="2" xfId="0" applyFont="1" applyBorder="1"/>
    <xf numFmtId="0" fontId="3" fillId="0" borderId="3" xfId="0" applyFont="1" applyBorder="1"/>
    <xf numFmtId="0" fontId="3" fillId="0" borderId="4" xfId="0" applyFont="1" applyBorder="1"/>
    <xf numFmtId="0" fontId="3" fillId="0" borderId="5" xfId="0" applyFont="1" applyBorder="1"/>
    <xf numFmtId="0" fontId="4" fillId="0" borderId="0" xfId="0" applyFont="1" applyBorder="1" applyAlignment="1">
      <alignment horizontal="right"/>
    </xf>
    <xf numFmtId="164" fontId="4" fillId="0" borderId="0" xfId="0" applyNumberFormat="1" applyFont="1" applyBorder="1" applyAlignment="1">
      <alignment horizontal="left"/>
    </xf>
    <xf numFmtId="0" fontId="6" fillId="0" borderId="0" xfId="0" applyFont="1" applyBorder="1"/>
    <xf numFmtId="0" fontId="4" fillId="0" borderId="0" xfId="0" applyFont="1" applyBorder="1" applyAlignment="1">
      <alignment horizontal="left"/>
    </xf>
    <xf numFmtId="0" fontId="4" fillId="0" borderId="0" xfId="0" applyFont="1" applyBorder="1" applyAlignment="1">
      <alignment horizontal="center"/>
    </xf>
    <xf numFmtId="0" fontId="3" fillId="0" borderId="0" xfId="0" applyFont="1" applyFill="1" applyBorder="1"/>
    <xf numFmtId="0" fontId="4" fillId="0" borderId="0" xfId="0" applyFont="1" applyBorder="1" applyAlignment="1"/>
    <xf numFmtId="0" fontId="4" fillId="0" borderId="1" xfId="0" applyFont="1" applyBorder="1"/>
    <xf numFmtId="0" fontId="3" fillId="0" borderId="0" xfId="0" applyFont="1" applyBorder="1" applyAlignment="1">
      <alignment horizontal="center"/>
    </xf>
    <xf numFmtId="164" fontId="3" fillId="0" borderId="0" xfId="0" applyNumberFormat="1" applyFont="1" applyBorder="1" applyAlignment="1">
      <alignment horizontal="left"/>
    </xf>
    <xf numFmtId="0" fontId="3" fillId="0" borderId="0" xfId="0" applyFont="1" applyBorder="1" applyAlignment="1"/>
    <xf numFmtId="0" fontId="4" fillId="0" borderId="0" xfId="0" applyFont="1" applyFill="1" applyBorder="1" applyAlignment="1">
      <alignment horizontal="left"/>
    </xf>
    <xf numFmtId="0" fontId="3" fillId="0" borderId="0" xfId="0" applyFont="1" applyBorder="1" applyAlignment="1">
      <alignment vertical="justify"/>
    </xf>
    <xf numFmtId="0" fontId="4" fillId="0" borderId="0" xfId="0" applyFont="1" applyFill="1" applyBorder="1"/>
    <xf numFmtId="0" fontId="3" fillId="0" borderId="6" xfId="0" applyFont="1" applyBorder="1"/>
    <xf numFmtId="0" fontId="3" fillId="0" borderId="7" xfId="0" applyFont="1" applyBorder="1"/>
    <xf numFmtId="0" fontId="3" fillId="0" borderId="7" xfId="0" applyFont="1" applyBorder="1" applyAlignment="1">
      <alignment horizontal="right"/>
    </xf>
    <xf numFmtId="0" fontId="3" fillId="0" borderId="8" xfId="0" applyFont="1" applyBorder="1"/>
    <xf numFmtId="43" fontId="3" fillId="0" borderId="0" xfId="0" applyNumberFormat="1" applyFont="1" applyBorder="1" applyAlignment="1">
      <alignment horizontal="right"/>
    </xf>
    <xf numFmtId="0" fontId="4" fillId="0" borderId="3" xfId="0" applyFont="1" applyBorder="1"/>
    <xf numFmtId="2" fontId="3" fillId="0" borderId="9" xfId="0" applyNumberFormat="1" applyFont="1" applyBorder="1"/>
    <xf numFmtId="2" fontId="3" fillId="0" borderId="2" xfId="0" applyNumberFormat="1" applyFont="1" applyBorder="1"/>
    <xf numFmtId="2" fontId="3" fillId="0" borderId="5" xfId="0" applyNumberFormat="1" applyFont="1" applyBorder="1"/>
    <xf numFmtId="2" fontId="3" fillId="0" borderId="4" xfId="0" applyNumberFormat="1" applyFont="1" applyBorder="1"/>
    <xf numFmtId="2" fontId="3" fillId="0" borderId="10" xfId="0" applyNumberFormat="1" applyFont="1" applyBorder="1"/>
    <xf numFmtId="2" fontId="3" fillId="0" borderId="3" xfId="0" applyNumberFormat="1" applyFont="1" applyBorder="1"/>
    <xf numFmtId="2" fontId="3" fillId="0" borderId="11" xfId="0" applyNumberFormat="1" applyFont="1" applyBorder="1"/>
    <xf numFmtId="2" fontId="3" fillId="0" borderId="0" xfId="0" applyNumberFormat="1" applyFont="1" applyBorder="1"/>
    <xf numFmtId="2" fontId="3" fillId="0" borderId="1" xfId="0" applyNumberFormat="1" applyFont="1" applyBorder="1"/>
    <xf numFmtId="2" fontId="3" fillId="0" borderId="6" xfId="0" applyNumberFormat="1" applyFont="1" applyBorder="1"/>
    <xf numFmtId="2" fontId="3" fillId="0" borderId="12" xfId="0" applyNumberFormat="1" applyFont="1" applyBorder="1"/>
    <xf numFmtId="0" fontId="3" fillId="0" borderId="13" xfId="0" applyFont="1" applyBorder="1"/>
    <xf numFmtId="2" fontId="4" fillId="0" borderId="14" xfId="0" applyNumberFormat="1" applyFont="1" applyBorder="1"/>
    <xf numFmtId="2" fontId="4" fillId="0" borderId="15" xfId="0" applyNumberFormat="1" applyFont="1" applyBorder="1"/>
    <xf numFmtId="0" fontId="3" fillId="0" borderId="16" xfId="0" applyFont="1" applyBorder="1"/>
    <xf numFmtId="2" fontId="4" fillId="0" borderId="17" xfId="0" applyNumberFormat="1" applyFont="1" applyBorder="1"/>
    <xf numFmtId="2" fontId="4" fillId="0" borderId="18" xfId="0" applyNumberFormat="1" applyFont="1" applyBorder="1"/>
    <xf numFmtId="0" fontId="4" fillId="0" borderId="6" xfId="0" applyFont="1" applyFill="1" applyBorder="1"/>
    <xf numFmtId="2" fontId="4" fillId="0" borderId="8" xfId="0" applyNumberFormat="1" applyFont="1" applyBorder="1"/>
    <xf numFmtId="164" fontId="3" fillId="0" borderId="0" xfId="0" applyNumberFormat="1" applyFont="1" applyBorder="1" applyAlignment="1">
      <alignment horizontal="right"/>
    </xf>
    <xf numFmtId="164" fontId="3" fillId="0" borderId="0" xfId="0" applyNumberFormat="1" applyFont="1" applyBorder="1"/>
    <xf numFmtId="165" fontId="3" fillId="0" borderId="0" xfId="0" applyNumberFormat="1" applyFont="1" applyBorder="1"/>
    <xf numFmtId="0" fontId="4" fillId="0" borderId="4" xfId="0" applyFont="1" applyBorder="1"/>
    <xf numFmtId="0" fontId="4" fillId="0" borderId="5" xfId="0" applyFont="1" applyBorder="1" applyAlignment="1">
      <alignment horizontal="right"/>
    </xf>
    <xf numFmtId="2" fontId="3" fillId="0" borderId="11" xfId="1" applyNumberFormat="1" applyFont="1" applyBorder="1"/>
    <xf numFmtId="0" fontId="3" fillId="0" borderId="4" xfId="0" applyFont="1" applyFill="1" applyBorder="1"/>
    <xf numFmtId="0" fontId="3" fillId="0" borderId="19" xfId="0" applyFont="1" applyBorder="1"/>
    <xf numFmtId="0" fontId="7" fillId="0" borderId="0" xfId="0" applyFont="1" applyFill="1" applyBorder="1"/>
    <xf numFmtId="0" fontId="3" fillId="0" borderId="0" xfId="0" applyFont="1" applyFill="1" applyBorder="1" applyAlignment="1">
      <alignment horizontal="left"/>
    </xf>
    <xf numFmtId="0" fontId="3" fillId="0" borderId="0" xfId="0" quotePrefix="1" applyFont="1" applyBorder="1"/>
    <xf numFmtId="0" fontId="3" fillId="0" borderId="0" xfId="0" applyFont="1" applyAlignment="1">
      <alignment horizontal="left"/>
    </xf>
    <xf numFmtId="0" fontId="4" fillId="0" borderId="0" xfId="0" applyFont="1" applyAlignment="1">
      <alignment horizontal="left"/>
    </xf>
    <xf numFmtId="2" fontId="4" fillId="0" borderId="0" xfId="0" applyNumberFormat="1" applyFont="1" applyFill="1" applyBorder="1" applyAlignment="1">
      <alignment horizontal="right"/>
    </xf>
    <xf numFmtId="0" fontId="4" fillId="0" borderId="3" xfId="0" applyFont="1" applyFill="1" applyBorder="1"/>
    <xf numFmtId="0" fontId="3" fillId="0" borderId="5" xfId="0" applyFont="1" applyFill="1" applyBorder="1"/>
    <xf numFmtId="0" fontId="3" fillId="0" borderId="0" xfId="0" applyFont="1" applyBorder="1" applyAlignment="1">
      <alignment horizontal="right"/>
    </xf>
    <xf numFmtId="0" fontId="4" fillId="0" borderId="19" xfId="0" applyFont="1" applyBorder="1"/>
    <xf numFmtId="0" fontId="8" fillId="0" borderId="0" xfId="0" applyFont="1" applyBorder="1"/>
    <xf numFmtId="0" fontId="9" fillId="0" borderId="0" xfId="0" applyFont="1" applyBorder="1"/>
    <xf numFmtId="0" fontId="10" fillId="0" borderId="0" xfId="0" applyFont="1" applyBorder="1"/>
    <xf numFmtId="0" fontId="9" fillId="0" borderId="0" xfId="0" applyFont="1" applyBorder="1" applyAlignment="1">
      <alignment horizontal="right"/>
    </xf>
    <xf numFmtId="0" fontId="9" fillId="0" borderId="0" xfId="0" applyFont="1" applyBorder="1" applyAlignment="1">
      <alignment horizontal="left"/>
    </xf>
    <xf numFmtId="164" fontId="10" fillId="0" borderId="0" xfId="0" applyNumberFormat="1" applyFont="1" applyBorder="1"/>
    <xf numFmtId="2" fontId="3" fillId="0" borderId="8" xfId="0" applyNumberFormat="1" applyFont="1" applyBorder="1"/>
    <xf numFmtId="0" fontId="3" fillId="0" borderId="20" xfId="0" applyFont="1" applyBorder="1"/>
    <xf numFmtId="0" fontId="3" fillId="0" borderId="9" xfId="0" applyFont="1" applyBorder="1"/>
    <xf numFmtId="0" fontId="4" fillId="0" borderId="0" xfId="0" applyFont="1"/>
    <xf numFmtId="2" fontId="4" fillId="0" borderId="0" xfId="0" applyNumberFormat="1" applyFont="1" applyBorder="1"/>
    <xf numFmtId="17" fontId="3" fillId="0" borderId="0" xfId="0" applyNumberFormat="1" applyFont="1" applyBorder="1"/>
    <xf numFmtId="2" fontId="3" fillId="0" borderId="20" xfId="0" applyNumberFormat="1" applyFont="1" applyBorder="1"/>
    <xf numFmtId="0" fontId="3" fillId="0" borderId="21" xfId="0" applyFont="1" applyBorder="1"/>
    <xf numFmtId="2" fontId="3" fillId="0" borderId="22" xfId="0" applyNumberFormat="1" applyFont="1" applyBorder="1"/>
    <xf numFmtId="0" fontId="12" fillId="0" borderId="0" xfId="0" applyFont="1" applyBorder="1"/>
    <xf numFmtId="0" fontId="4" fillId="0" borderId="6" xfId="0" applyFont="1" applyBorder="1"/>
    <xf numFmtId="2" fontId="4" fillId="0" borderId="7" xfId="0" applyNumberFormat="1" applyFont="1" applyFill="1" applyBorder="1" applyAlignment="1">
      <alignment horizontal="right"/>
    </xf>
    <xf numFmtId="0" fontId="4" fillId="0" borderId="12" xfId="0" applyFont="1" applyBorder="1"/>
    <xf numFmtId="0" fontId="4" fillId="0" borderId="7" xfId="0" applyFont="1" applyBorder="1"/>
    <xf numFmtId="0" fontId="4" fillId="0" borderId="8" xfId="0" applyFont="1" applyBorder="1" applyAlignment="1">
      <alignment horizontal="center"/>
    </xf>
    <xf numFmtId="0" fontId="4" fillId="0" borderId="12" xfId="0" applyFont="1" applyBorder="1" applyAlignment="1">
      <alignment horizontal="center"/>
    </xf>
    <xf numFmtId="0" fontId="4" fillId="0" borderId="22" xfId="0" applyFont="1" applyBorder="1" applyAlignment="1">
      <alignment horizontal="center"/>
    </xf>
    <xf numFmtId="0" fontId="3" fillId="0" borderId="9" xfId="0" applyFont="1" applyBorder="1" applyAlignment="1">
      <alignment horizontal="left"/>
    </xf>
    <xf numFmtId="2" fontId="3" fillId="0" borderId="2" xfId="0" applyNumberFormat="1" applyFont="1" applyBorder="1" applyAlignment="1">
      <alignment horizontal="right"/>
    </xf>
    <xf numFmtId="2" fontId="3" fillId="0" borderId="1" xfId="0" applyNumberFormat="1" applyFont="1" applyBorder="1" applyAlignment="1">
      <alignment horizontal="right"/>
    </xf>
    <xf numFmtId="2" fontId="3" fillId="0" borderId="22" xfId="0" applyNumberFormat="1" applyFont="1" applyBorder="1" applyAlignment="1">
      <alignment horizontal="right"/>
    </xf>
    <xf numFmtId="2" fontId="3" fillId="0" borderId="7" xfId="0" applyNumberFormat="1" applyFont="1" applyBorder="1"/>
    <xf numFmtId="0" fontId="4" fillId="0" borderId="20" xfId="0" applyFont="1" applyBorder="1"/>
    <xf numFmtId="2" fontId="4" fillId="0" borderId="12" xfId="0" applyNumberFormat="1" applyFont="1" applyBorder="1" applyAlignment="1">
      <alignment horizontal="right"/>
    </xf>
    <xf numFmtId="2" fontId="4" fillId="0" borderId="7" xfId="0" applyNumberFormat="1" applyFont="1" applyBorder="1"/>
    <xf numFmtId="0" fontId="4" fillId="0" borderId="21" xfId="0" applyFont="1" applyBorder="1"/>
    <xf numFmtId="0" fontId="3" fillId="0" borderId="20" xfId="0" applyFont="1" applyFill="1" applyBorder="1"/>
    <xf numFmtId="0" fontId="3" fillId="0" borderId="10" xfId="0" applyFont="1" applyFill="1" applyBorder="1"/>
    <xf numFmtId="0" fontId="5" fillId="0" borderId="3" xfId="0" applyFont="1" applyFill="1" applyBorder="1"/>
    <xf numFmtId="0" fontId="4" fillId="0" borderId="5" xfId="0" applyFont="1" applyBorder="1"/>
    <xf numFmtId="0" fontId="3" fillId="0" borderId="9" xfId="0" quotePrefix="1" applyFont="1" applyBorder="1"/>
    <xf numFmtId="2" fontId="3" fillId="0" borderId="11" xfId="0" applyNumberFormat="1" applyFont="1" applyBorder="1" applyAlignment="1">
      <alignment horizontal="right"/>
    </xf>
    <xf numFmtId="0" fontId="4" fillId="0" borderId="21" xfId="0" applyFont="1" applyFill="1" applyBorder="1"/>
    <xf numFmtId="0" fontId="3" fillId="0" borderId="10" xfId="0" applyFont="1" applyFill="1" applyBorder="1" applyAlignment="1">
      <alignment horizontal="left"/>
    </xf>
    <xf numFmtId="0" fontId="3" fillId="0" borderId="0" xfId="0" quotePrefix="1" applyFont="1"/>
    <xf numFmtId="0" fontId="11" fillId="0" borderId="0" xfId="0" applyFont="1" applyBorder="1"/>
    <xf numFmtId="0" fontId="0" fillId="0" borderId="19" xfId="0" applyBorder="1"/>
    <xf numFmtId="0" fontId="0" fillId="0" borderId="21" xfId="0" applyBorder="1"/>
    <xf numFmtId="0" fontId="0" fillId="0" borderId="20" xfId="0" applyBorder="1"/>
    <xf numFmtId="0" fontId="0" fillId="0" borderId="10" xfId="0" applyBorder="1"/>
    <xf numFmtId="0" fontId="0" fillId="0" borderId="1" xfId="0" applyBorder="1"/>
    <xf numFmtId="0" fontId="0" fillId="0" borderId="0" xfId="0" applyBorder="1"/>
    <xf numFmtId="0" fontId="0" fillId="0" borderId="2" xfId="0" applyBorder="1"/>
    <xf numFmtId="0" fontId="0" fillId="0" borderId="3" xfId="0" applyBorder="1"/>
    <xf numFmtId="0" fontId="0" fillId="0" borderId="4" xfId="0" applyBorder="1"/>
    <xf numFmtId="0" fontId="0" fillId="0" borderId="5" xfId="0" applyBorder="1"/>
    <xf numFmtId="4" fontId="4" fillId="0" borderId="0" xfId="0" applyNumberFormat="1" applyFont="1" applyBorder="1" applyAlignment="1">
      <alignment horizontal="left"/>
    </xf>
    <xf numFmtId="0" fontId="3" fillId="0" borderId="22" xfId="0" applyFont="1" applyBorder="1" applyAlignment="1">
      <alignment horizontal="left"/>
    </xf>
    <xf numFmtId="0" fontId="3" fillId="0" borderId="11" xfId="0" applyFont="1" applyBorder="1" applyAlignment="1">
      <alignment horizontal="left"/>
    </xf>
    <xf numFmtId="0" fontId="4" fillId="0" borderId="4" xfId="0" applyFont="1" applyBorder="1" applyAlignment="1">
      <alignment horizontal="left"/>
    </xf>
    <xf numFmtId="0" fontId="4" fillId="0" borderId="7" xfId="0" applyFont="1" applyBorder="1" applyAlignment="1">
      <alignment horizontal="center"/>
    </xf>
    <xf numFmtId="0" fontId="4" fillId="0" borderId="7" xfId="0" applyFont="1" applyBorder="1" applyAlignment="1">
      <alignment horizontal="left"/>
    </xf>
    <xf numFmtId="0" fontId="3" fillId="0" borderId="12" xfId="0" applyFont="1" applyBorder="1" applyAlignment="1">
      <alignment horizontal="center"/>
    </xf>
    <xf numFmtId="0" fontId="3" fillId="0" borderId="11" xfId="0" applyFont="1" applyBorder="1" applyAlignment="1">
      <alignment horizontal="center"/>
    </xf>
    <xf numFmtId="0" fontId="13" fillId="0" borderId="0" xfId="0" applyFont="1"/>
    <xf numFmtId="0" fontId="5" fillId="0" borderId="0" xfId="0" applyFont="1" applyAlignment="1">
      <alignment horizontal="center"/>
    </xf>
    <xf numFmtId="0" fontId="13" fillId="0" borderId="0" xfId="0" applyFont="1" applyAlignment="1">
      <alignment horizontal="center"/>
    </xf>
    <xf numFmtId="0" fontId="5" fillId="0" borderId="0" xfId="0" applyFont="1" applyAlignment="1">
      <alignment horizontal="left"/>
    </xf>
    <xf numFmtId="0" fontId="5" fillId="0" borderId="0" xfId="0" applyFont="1"/>
    <xf numFmtId="0" fontId="13" fillId="0" borderId="0" xfId="0" applyFont="1" applyAlignment="1">
      <alignment horizontal="right"/>
    </xf>
    <xf numFmtId="0" fontId="14" fillId="0" borderId="0" xfId="0" applyFont="1" applyAlignment="1"/>
    <xf numFmtId="0" fontId="15" fillId="0" borderId="0" xfId="0" applyFont="1" applyAlignment="1"/>
    <xf numFmtId="1" fontId="3" fillId="0" borderId="8" xfId="0" applyNumberFormat="1" applyFont="1" applyBorder="1"/>
    <xf numFmtId="1" fontId="3" fillId="0" borderId="8" xfId="0" applyNumberFormat="1" applyFont="1" applyBorder="1" applyAlignment="1">
      <alignment horizontal="right"/>
    </xf>
    <xf numFmtId="1" fontId="3" fillId="0" borderId="4" xfId="0" applyNumberFormat="1" applyFont="1" applyBorder="1" applyAlignment="1">
      <alignment horizontal="right"/>
    </xf>
    <xf numFmtId="1" fontId="3" fillId="0" borderId="1" xfId="0" applyNumberFormat="1" applyFont="1" applyBorder="1"/>
    <xf numFmtId="0" fontId="3" fillId="0" borderId="0" xfId="0" applyFont="1" applyFill="1" applyBorder="1" applyAlignment="1">
      <alignment horizontal="center"/>
    </xf>
    <xf numFmtId="0" fontId="4" fillId="0" borderId="3" xfId="0" applyFont="1" applyBorder="1" applyAlignment="1"/>
    <xf numFmtId="0" fontId="3" fillId="0" borderId="0" xfId="0" applyFont="1" applyFill="1"/>
    <xf numFmtId="0" fontId="3" fillId="0" borderId="11" xfId="0" applyFont="1" applyBorder="1"/>
    <xf numFmtId="0" fontId="4" fillId="0" borderId="10" xfId="0" applyFont="1" applyBorder="1"/>
    <xf numFmtId="2" fontId="3" fillId="0" borderId="0" xfId="0" applyNumberFormat="1" applyFont="1"/>
    <xf numFmtId="0" fontId="4" fillId="0" borderId="0" xfId="0" quotePrefix="1" applyFont="1" applyBorder="1"/>
    <xf numFmtId="0" fontId="4" fillId="0" borderId="0" xfId="0" quotePrefix="1" applyFont="1" applyFill="1" applyBorder="1"/>
    <xf numFmtId="0" fontId="14" fillId="2" borderId="0" xfId="0" applyFont="1" applyFill="1" applyBorder="1"/>
    <xf numFmtId="0" fontId="16" fillId="2" borderId="0" xfId="0" applyFont="1" applyFill="1" applyBorder="1"/>
    <xf numFmtId="0" fontId="3" fillId="0" borderId="10" xfId="0" applyFont="1" applyBorder="1"/>
    <xf numFmtId="18" fontId="3" fillId="0" borderId="0" xfId="0" applyNumberFormat="1" applyFont="1" applyAlignment="1">
      <alignment horizontal="left"/>
    </xf>
    <xf numFmtId="0" fontId="3" fillId="0" borderId="4" xfId="0" applyFont="1" applyBorder="1" applyAlignment="1">
      <alignment horizontal="left"/>
    </xf>
    <xf numFmtId="0" fontId="6" fillId="0" borderId="0" xfId="0" applyFont="1"/>
    <xf numFmtId="16" fontId="3" fillId="0" borderId="22" xfId="0" quotePrefix="1" applyNumberFormat="1" applyFont="1" applyBorder="1"/>
    <xf numFmtId="0" fontId="3" fillId="0" borderId="12" xfId="0" quotePrefix="1" applyFont="1" applyBorder="1"/>
    <xf numFmtId="0" fontId="3" fillId="0" borderId="11" xfId="0" quotePrefix="1" applyFont="1" applyBorder="1"/>
    <xf numFmtId="0" fontId="4" fillId="0" borderId="22" xfId="0" applyFont="1" applyBorder="1" applyAlignment="1">
      <alignment horizontal="left"/>
    </xf>
    <xf numFmtId="0" fontId="4" fillId="0" borderId="2" xfId="0" applyFont="1" applyBorder="1"/>
    <xf numFmtId="0" fontId="4" fillId="0" borderId="9" xfId="0" applyFont="1" applyBorder="1"/>
    <xf numFmtId="0" fontId="9" fillId="3" borderId="0" xfId="0" applyFont="1" applyFill="1" applyBorder="1"/>
    <xf numFmtId="0" fontId="3" fillId="3" borderId="0" xfId="0" applyFont="1" applyFill="1" applyBorder="1"/>
    <xf numFmtId="0" fontId="0" fillId="3" borderId="0" xfId="0" applyFill="1" applyBorder="1"/>
    <xf numFmtId="0" fontId="3" fillId="0" borderId="1" xfId="0" applyFont="1" applyBorder="1" applyAlignment="1">
      <alignment horizontal="left" indent="5"/>
    </xf>
    <xf numFmtId="0" fontId="17" fillId="0" borderId="0" xfId="0" applyFont="1" applyBorder="1"/>
    <xf numFmtId="0" fontId="18" fillId="0" borderId="0" xfId="0" applyFont="1" applyFill="1" applyBorder="1" applyAlignment="1"/>
    <xf numFmtId="0" fontId="19" fillId="0" borderId="0" xfId="0" applyFont="1" applyFill="1" applyBorder="1"/>
    <xf numFmtId="0" fontId="4" fillId="0" borderId="1" xfId="0" applyFont="1" applyBorder="1" applyAlignment="1">
      <alignment horizontal="left" indent="5"/>
    </xf>
    <xf numFmtId="0" fontId="3" fillId="0" borderId="1" xfId="0" applyFont="1" applyBorder="1" applyAlignment="1"/>
    <xf numFmtId="0" fontId="4" fillId="0" borderId="4" xfId="0" applyFont="1" applyBorder="1" applyAlignment="1"/>
    <xf numFmtId="0" fontId="4" fillId="0" borderId="4" xfId="0" applyFont="1" applyBorder="1" applyAlignment="1">
      <alignment horizontal="right"/>
    </xf>
    <xf numFmtId="0" fontId="4" fillId="0" borderId="0" xfId="0" quotePrefix="1" applyFont="1" applyBorder="1" applyAlignment="1"/>
    <xf numFmtId="2" fontId="3" fillId="0" borderId="0" xfId="0" applyNumberFormat="1" applyFont="1" applyAlignment="1"/>
    <xf numFmtId="0" fontId="3" fillId="0" borderId="0" xfId="0" applyFont="1" applyBorder="1" applyAlignment="1">
      <alignment horizontal="left" indent="5"/>
    </xf>
    <xf numFmtId="2" fontId="3" fillId="0" borderId="0" xfId="0" applyNumberFormat="1" applyFont="1" applyBorder="1" applyAlignment="1"/>
    <xf numFmtId="0" fontId="4" fillId="4" borderId="23" xfId="0" applyFont="1" applyFill="1" applyBorder="1"/>
    <xf numFmtId="0" fontId="3" fillId="4" borderId="24" xfId="0" applyFont="1" applyFill="1" applyBorder="1"/>
    <xf numFmtId="0" fontId="3" fillId="4" borderId="25" xfId="0" applyFont="1" applyFill="1" applyBorder="1"/>
    <xf numFmtId="0" fontId="3" fillId="4" borderId="26" xfId="0" applyFont="1" applyFill="1" applyBorder="1"/>
    <xf numFmtId="0" fontId="3" fillId="4" borderId="0" xfId="0" applyFont="1" applyFill="1" applyBorder="1"/>
    <xf numFmtId="0" fontId="4" fillId="4" borderId="0" xfId="0" applyFont="1" applyFill="1" applyBorder="1"/>
    <xf numFmtId="0" fontId="3" fillId="4" borderId="27" xfId="0" applyFont="1" applyFill="1" applyBorder="1"/>
    <xf numFmtId="0" fontId="4" fillId="4" borderId="26" xfId="0" applyFont="1" applyFill="1" applyBorder="1"/>
    <xf numFmtId="0" fontId="4" fillId="4" borderId="27" xfId="0" applyFont="1" applyFill="1" applyBorder="1"/>
    <xf numFmtId="0" fontId="3" fillId="4" borderId="0" xfId="0" quotePrefix="1" applyFont="1" applyFill="1" applyBorder="1"/>
    <xf numFmtId="0" fontId="3" fillId="4" borderId="28" xfId="0" applyFont="1" applyFill="1" applyBorder="1"/>
    <xf numFmtId="0" fontId="3" fillId="4" borderId="19" xfId="0" applyFont="1" applyFill="1" applyBorder="1"/>
    <xf numFmtId="0" fontId="3" fillId="4" borderId="19" xfId="0" quotePrefix="1" applyFont="1" applyFill="1" applyBorder="1"/>
    <xf numFmtId="0" fontId="3" fillId="4" borderId="29" xfId="0" applyFont="1" applyFill="1" applyBorder="1"/>
    <xf numFmtId="0" fontId="9" fillId="3" borderId="6" xfId="0" applyFont="1" applyFill="1" applyBorder="1"/>
    <xf numFmtId="0" fontId="9" fillId="3" borderId="7" xfId="0" applyFont="1" applyFill="1" applyBorder="1"/>
    <xf numFmtId="0" fontId="3" fillId="3" borderId="8" xfId="0" applyFont="1" applyFill="1" applyBorder="1"/>
    <xf numFmtId="0" fontId="3" fillId="0" borderId="0" xfId="0" applyFont="1" applyBorder="1" applyAlignment="1">
      <alignment horizontal="right" vertical="top"/>
    </xf>
    <xf numFmtId="0" fontId="10" fillId="0" borderId="0" xfId="0" applyFont="1"/>
    <xf numFmtId="0" fontId="9" fillId="0" borderId="0" xfId="0" applyFont="1"/>
    <xf numFmtId="0" fontId="9" fillId="0" borderId="6" xfId="0" applyFont="1" applyBorder="1" applyAlignment="1">
      <alignment vertical="top"/>
    </xf>
    <xf numFmtId="0" fontId="9" fillId="0" borderId="8" xfId="0" applyFont="1" applyBorder="1" applyAlignment="1">
      <alignment horizontal="justify" vertical="justify"/>
    </xf>
    <xf numFmtId="0" fontId="10" fillId="0" borderId="1" xfId="0" applyFont="1" applyBorder="1"/>
    <xf numFmtId="0" fontId="10" fillId="0" borderId="6" xfId="0" applyFont="1" applyBorder="1"/>
    <xf numFmtId="0" fontId="10" fillId="0" borderId="12" xfId="0" applyFont="1" applyBorder="1"/>
    <xf numFmtId="0" fontId="10" fillId="0" borderId="9" xfId="0" applyFont="1" applyBorder="1"/>
    <xf numFmtId="0" fontId="9" fillId="0" borderId="12" xfId="0" applyFont="1" applyBorder="1"/>
    <xf numFmtId="0" fontId="10" fillId="0" borderId="7" xfId="0" applyFont="1" applyBorder="1"/>
    <xf numFmtId="0" fontId="10" fillId="0" borderId="6" xfId="0" applyFont="1" applyBorder="1" applyAlignment="1">
      <alignment horizontal="justify" vertical="justify"/>
    </xf>
    <xf numFmtId="0" fontId="9" fillId="0" borderId="12" xfId="0" applyFont="1" applyBorder="1" applyAlignment="1">
      <alignment horizontal="justify" vertical="justify"/>
    </xf>
    <xf numFmtId="0" fontId="9" fillId="0" borderId="12" xfId="0" applyFont="1" applyBorder="1" applyAlignment="1">
      <alignment vertical="top"/>
    </xf>
    <xf numFmtId="0" fontId="10" fillId="0" borderId="12" xfId="0" applyFont="1" applyBorder="1" applyAlignment="1">
      <alignment horizontal="center"/>
    </xf>
    <xf numFmtId="0" fontId="10" fillId="0" borderId="9" xfId="0" applyFont="1" applyBorder="1" applyAlignment="1">
      <alignment horizontal="center"/>
    </xf>
    <xf numFmtId="2" fontId="10" fillId="0" borderId="12" xfId="0" applyNumberFormat="1" applyFont="1" applyBorder="1"/>
    <xf numFmtId="2" fontId="10" fillId="0" borderId="9" xfId="0" applyNumberFormat="1" applyFont="1" applyBorder="1"/>
    <xf numFmtId="0" fontId="10" fillId="0" borderId="3" xfId="0" applyFont="1" applyBorder="1"/>
    <xf numFmtId="0" fontId="10" fillId="0" borderId="4" xfId="0" applyFont="1" applyBorder="1"/>
    <xf numFmtId="0" fontId="10" fillId="0" borderId="5" xfId="0" applyFont="1" applyBorder="1"/>
    <xf numFmtId="0" fontId="9" fillId="0" borderId="1" xfId="0" applyFont="1" applyBorder="1" applyAlignment="1">
      <alignment horizontal="justify" vertical="justify"/>
    </xf>
    <xf numFmtId="2" fontId="9" fillId="0" borderId="9" xfId="0" applyNumberFormat="1" applyFont="1" applyBorder="1"/>
    <xf numFmtId="0" fontId="9" fillId="0" borderId="9" xfId="0" applyFont="1" applyBorder="1"/>
    <xf numFmtId="2" fontId="10" fillId="0" borderId="8" xfId="0" applyNumberFormat="1" applyFont="1" applyBorder="1"/>
    <xf numFmtId="0" fontId="10" fillId="0" borderId="7" xfId="0" applyFont="1" applyBorder="1" applyAlignment="1">
      <alignment horizontal="right"/>
    </xf>
    <xf numFmtId="0" fontId="9" fillId="3" borderId="7" xfId="0" applyFont="1" applyFill="1" applyBorder="1" applyAlignment="1">
      <alignment horizontal="right"/>
    </xf>
    <xf numFmtId="2" fontId="9" fillId="3" borderId="8" xfId="0" applyNumberFormat="1" applyFont="1" applyFill="1" applyBorder="1"/>
    <xf numFmtId="2" fontId="9" fillId="0" borderId="12" xfId="0" applyNumberFormat="1" applyFont="1" applyBorder="1"/>
    <xf numFmtId="0" fontId="9" fillId="0" borderId="8" xfId="0" applyFont="1" applyBorder="1" applyAlignment="1">
      <alignment horizontal="center"/>
    </xf>
    <xf numFmtId="0" fontId="9" fillId="0" borderId="12" xfId="0" applyFont="1" applyBorder="1" applyAlignment="1">
      <alignment horizontal="center"/>
    </xf>
    <xf numFmtId="2" fontId="10" fillId="0" borderId="2" xfId="0" applyNumberFormat="1" applyFont="1" applyBorder="1"/>
    <xf numFmtId="2" fontId="9" fillId="0" borderId="2" xfId="0" applyNumberFormat="1" applyFont="1" applyBorder="1"/>
    <xf numFmtId="0" fontId="4" fillId="0" borderId="0" xfId="0" applyFont="1" applyBorder="1" applyAlignment="1">
      <alignment horizontal="left" vertical="top"/>
    </xf>
    <xf numFmtId="0" fontId="3" fillId="0" borderId="0" xfId="0" applyFont="1" applyBorder="1" applyAlignment="1">
      <alignment vertical="top"/>
    </xf>
    <xf numFmtId="0" fontId="4" fillId="0" borderId="0" xfId="0" applyFont="1" applyBorder="1" applyAlignment="1">
      <alignment horizontal="center" vertical="top"/>
    </xf>
    <xf numFmtId="17" fontId="3" fillId="0" borderId="0" xfId="0" applyNumberFormat="1" applyFont="1" applyBorder="1" applyAlignment="1">
      <alignment vertical="justify"/>
    </xf>
    <xf numFmtId="17" fontId="3" fillId="0" borderId="0" xfId="0" applyNumberFormat="1" applyFont="1" applyBorder="1" applyAlignment="1">
      <alignment vertical="top"/>
    </xf>
    <xf numFmtId="17" fontId="4" fillId="0" borderId="0" xfId="0" applyNumberFormat="1" applyFont="1" applyBorder="1" applyAlignment="1">
      <alignment vertical="justify"/>
    </xf>
    <xf numFmtId="0" fontId="11" fillId="0" borderId="0" xfId="0" applyFont="1"/>
    <xf numFmtId="0" fontId="3" fillId="0" borderId="0" xfId="0" applyFont="1" applyAlignment="1">
      <alignment horizontal="left" vertical="justify"/>
    </xf>
    <xf numFmtId="0" fontId="6" fillId="0" borderId="0" xfId="0" applyFont="1" applyAlignment="1">
      <alignment horizontal="center" vertical="justify"/>
    </xf>
    <xf numFmtId="0" fontId="3" fillId="0" borderId="0" xfId="0" applyFont="1" applyAlignment="1"/>
    <xf numFmtId="0" fontId="4" fillId="0" borderId="0" xfId="0" applyFont="1" applyAlignment="1">
      <alignment horizontal="right"/>
    </xf>
    <xf numFmtId="0" fontId="4" fillId="0" borderId="12" xfId="0" applyFont="1" applyBorder="1" applyAlignment="1">
      <alignment horizontal="left"/>
    </xf>
    <xf numFmtId="0" fontId="4" fillId="0" borderId="8" xfId="0" applyFont="1" applyBorder="1" applyAlignment="1">
      <alignment horizontal="left"/>
    </xf>
    <xf numFmtId="2" fontId="3" fillId="0" borderId="0" xfId="0" applyNumberFormat="1" applyFont="1" applyBorder="1" applyAlignment="1">
      <alignment horizontal="left"/>
    </xf>
    <xf numFmtId="0" fontId="3" fillId="0" borderId="12" xfId="0" applyFont="1" applyBorder="1" applyAlignment="1">
      <alignment horizontal="left"/>
    </xf>
    <xf numFmtId="2" fontId="3" fillId="0" borderId="0" xfId="0" applyNumberFormat="1" applyFont="1" applyBorder="1" applyAlignment="1">
      <alignment horizontal="right"/>
    </xf>
    <xf numFmtId="0" fontId="4" fillId="0" borderId="0" xfId="0" applyFont="1" applyAlignment="1">
      <alignment horizontal="justify" vertical="justify"/>
    </xf>
    <xf numFmtId="0" fontId="3" fillId="0" borderId="6" xfId="0" applyFont="1" applyBorder="1" applyAlignment="1">
      <alignment vertical="top"/>
    </xf>
    <xf numFmtId="0" fontId="4" fillId="0" borderId="7" xfId="0" applyFont="1" applyBorder="1" applyAlignment="1">
      <alignment vertical="top"/>
    </xf>
    <xf numFmtId="0" fontId="3" fillId="0" borderId="7" xfId="0" applyFont="1" applyBorder="1" applyAlignment="1">
      <alignment horizontal="left"/>
    </xf>
    <xf numFmtId="0" fontId="0" fillId="0" borderId="7" xfId="0" applyFont="1" applyBorder="1"/>
    <xf numFmtId="0" fontId="3" fillId="0" borderId="9" xfId="0" applyFont="1" applyBorder="1" applyAlignment="1">
      <alignment horizontal="right"/>
    </xf>
    <xf numFmtId="0" fontId="3" fillId="0" borderId="30" xfId="0" applyFont="1" applyFill="1" applyBorder="1" applyAlignment="1">
      <alignment horizontal="center"/>
    </xf>
    <xf numFmtId="2" fontId="4" fillId="0" borderId="3" xfId="0" applyNumberFormat="1" applyFont="1" applyBorder="1"/>
    <xf numFmtId="0" fontId="3" fillId="0" borderId="31" xfId="0" applyFont="1" applyFill="1" applyBorder="1" applyAlignment="1">
      <alignment horizontal="center"/>
    </xf>
    <xf numFmtId="17" fontId="3" fillId="0" borderId="4" xfId="0" applyNumberFormat="1" applyFont="1" applyBorder="1"/>
    <xf numFmtId="2" fontId="4" fillId="0" borderId="5" xfId="0" applyNumberFormat="1" applyFont="1" applyBorder="1"/>
    <xf numFmtId="0" fontId="4" fillId="0" borderId="8" xfId="0" applyFont="1" applyBorder="1" applyAlignment="1">
      <alignment horizontal="right"/>
    </xf>
    <xf numFmtId="0" fontId="20" fillId="0" borderId="0" xfId="0" applyFont="1"/>
    <xf numFmtId="1" fontId="3" fillId="0" borderId="0" xfId="0" quotePrefix="1" applyNumberFormat="1" applyFont="1" applyBorder="1" applyAlignment="1">
      <alignment horizontal="left"/>
    </xf>
    <xf numFmtId="2" fontId="3" fillId="0" borderId="9" xfId="0" applyNumberFormat="1" applyFont="1" applyBorder="1" applyAlignment="1">
      <alignment horizontal="right"/>
    </xf>
    <xf numFmtId="0" fontId="3" fillId="0" borderId="1" xfId="0" applyFont="1" applyFill="1" applyBorder="1"/>
    <xf numFmtId="0" fontId="3" fillId="0" borderId="2" xfId="0" applyFont="1" applyFill="1" applyBorder="1"/>
    <xf numFmtId="0" fontId="21" fillId="0" borderId="0" xfId="0" applyFont="1" applyBorder="1"/>
    <xf numFmtId="0" fontId="22" fillId="0" borderId="0" xfId="0" applyFont="1" applyBorder="1"/>
    <xf numFmtId="0" fontId="21" fillId="0" borderId="0" xfId="0" applyFont="1" applyFill="1" applyBorder="1"/>
    <xf numFmtId="2" fontId="21" fillId="0" borderId="1" xfId="0" applyNumberFormat="1" applyFont="1" applyBorder="1"/>
    <xf numFmtId="0" fontId="21" fillId="0" borderId="0" xfId="0" applyFont="1"/>
    <xf numFmtId="17" fontId="22" fillId="0" borderId="0" xfId="0" applyNumberFormat="1" applyFont="1" applyBorder="1"/>
    <xf numFmtId="0" fontId="21" fillId="0" borderId="20" xfId="0" applyFont="1" applyFill="1" applyBorder="1"/>
    <xf numFmtId="2" fontId="21" fillId="0" borderId="9" xfId="0" applyNumberFormat="1" applyFont="1" applyBorder="1"/>
    <xf numFmtId="2" fontId="21" fillId="0" borderId="0" xfId="0" applyNumberFormat="1" applyFont="1" applyBorder="1"/>
    <xf numFmtId="0" fontId="3" fillId="5" borderId="0" xfId="0" applyFont="1" applyFill="1" applyBorder="1"/>
    <xf numFmtId="2" fontId="22" fillId="5" borderId="14" xfId="0" applyNumberFormat="1" applyFont="1" applyFill="1" applyBorder="1"/>
    <xf numFmtId="2" fontId="21" fillId="5" borderId="18" xfId="0" applyNumberFormat="1" applyFont="1" applyFill="1" applyBorder="1"/>
    <xf numFmtId="0" fontId="21" fillId="0" borderId="1" xfId="0" applyFont="1" applyBorder="1"/>
    <xf numFmtId="0" fontId="21" fillId="0" borderId="2" xfId="0" applyFont="1" applyBorder="1"/>
    <xf numFmtId="2" fontId="21" fillId="0" borderId="2" xfId="0" applyNumberFormat="1" applyFont="1" applyBorder="1"/>
    <xf numFmtId="0" fontId="21" fillId="0" borderId="3" xfId="0" applyFont="1" applyBorder="1"/>
    <xf numFmtId="0" fontId="21" fillId="0" borderId="4" xfId="0" applyFont="1" applyBorder="1"/>
    <xf numFmtId="0" fontId="21" fillId="0" borderId="5" xfId="0" applyFont="1" applyBorder="1"/>
    <xf numFmtId="0" fontId="3" fillId="0" borderId="0" xfId="0" applyFont="1" applyBorder="1" applyAlignment="1">
      <alignment horizontal="justify" vertical="justify"/>
    </xf>
    <xf numFmtId="0" fontId="3" fillId="0" borderId="0" xfId="0" applyFont="1" applyAlignment="1">
      <alignment horizontal="justify" vertical="justify"/>
    </xf>
    <xf numFmtId="0" fontId="4" fillId="0" borderId="10" xfId="0" applyFont="1" applyBorder="1" applyAlignment="1">
      <alignment horizontal="center"/>
    </xf>
    <xf numFmtId="0" fontId="4" fillId="0" borderId="4" xfId="0" applyFont="1" applyBorder="1" applyAlignment="1">
      <alignment horizontal="center"/>
    </xf>
    <xf numFmtId="0" fontId="3" fillId="0" borderId="0" xfId="0" quotePrefix="1" applyFont="1" applyBorder="1" applyAlignment="1">
      <alignment horizontal="left"/>
    </xf>
    <xf numFmtId="0" fontId="3" fillId="0" borderId="0" xfId="0" applyFont="1" applyBorder="1" applyAlignment="1">
      <alignment horizontal="left"/>
    </xf>
    <xf numFmtId="0" fontId="3" fillId="0" borderId="0" xfId="0" applyFont="1" applyBorder="1" applyAlignment="1">
      <alignment horizontal="justify" vertical="justify"/>
    </xf>
    <xf numFmtId="0" fontId="3" fillId="0" borderId="6" xfId="0" applyFont="1" applyBorder="1" applyAlignment="1">
      <alignment horizontal="center"/>
    </xf>
    <xf numFmtId="0" fontId="3" fillId="0" borderId="8" xfId="0" applyFont="1" applyBorder="1" applyAlignment="1">
      <alignment horizontal="center"/>
    </xf>
    <xf numFmtId="0" fontId="3" fillId="0" borderId="3" xfId="0" applyFont="1" applyBorder="1" applyAlignment="1">
      <alignment horizontal="center"/>
    </xf>
    <xf numFmtId="0" fontId="3" fillId="0" borderId="5" xfId="0" applyFont="1" applyBorder="1" applyAlignment="1">
      <alignment horizontal="center"/>
    </xf>
    <xf numFmtId="0" fontId="3" fillId="0" borderId="21" xfId="0" quotePrefix="1" applyFont="1" applyBorder="1" applyAlignment="1">
      <alignment horizontal="left"/>
    </xf>
    <xf numFmtId="0" fontId="3" fillId="0" borderId="10" xfId="0" applyFont="1" applyBorder="1" applyAlignment="1">
      <alignment horizontal="left"/>
    </xf>
    <xf numFmtId="0" fontId="3" fillId="0" borderId="6" xfId="0" quotePrefix="1" applyFont="1" applyBorder="1" applyAlignment="1">
      <alignment horizontal="left"/>
    </xf>
    <xf numFmtId="0" fontId="3" fillId="0" borderId="8" xfId="0" applyFont="1" applyBorder="1" applyAlignment="1">
      <alignment horizontal="left"/>
    </xf>
    <xf numFmtId="0" fontId="3" fillId="0" borderId="6" xfId="0" applyFont="1" applyBorder="1" applyAlignment="1">
      <alignment horizontal="left"/>
    </xf>
    <xf numFmtId="0" fontId="3" fillId="0" borderId="0" xfId="0" applyFont="1" applyAlignment="1">
      <alignment horizontal="justify" vertical="justify"/>
    </xf>
    <xf numFmtId="0" fontId="3" fillId="0" borderId="0" xfId="0" applyFont="1" applyFill="1" applyBorder="1" applyAlignment="1">
      <alignment horizontal="justify" vertical="justify"/>
    </xf>
    <xf numFmtId="0" fontId="4" fillId="0" borderId="21" xfId="0" applyFont="1" applyBorder="1" applyAlignment="1">
      <alignment horizontal="center"/>
    </xf>
    <xf numFmtId="0" fontId="4" fillId="0" borderId="20" xfId="0" applyFont="1" applyBorder="1" applyAlignment="1">
      <alignment horizontal="center"/>
    </xf>
    <xf numFmtId="0" fontId="4" fillId="0" borderId="10" xfId="0" applyFont="1" applyBorder="1" applyAlignment="1">
      <alignment horizontal="center"/>
    </xf>
    <xf numFmtId="0" fontId="4" fillId="0" borderId="3" xfId="0" applyFont="1" applyBorder="1" applyAlignment="1">
      <alignment horizontal="center"/>
    </xf>
    <xf numFmtId="0" fontId="4" fillId="0" borderId="4" xfId="0" applyFont="1" applyBorder="1" applyAlignment="1">
      <alignment horizontal="center"/>
    </xf>
    <xf numFmtId="0" fontId="4" fillId="0" borderId="5" xfId="0" applyFont="1" applyBorder="1" applyAlignment="1">
      <alignment horizontal="center"/>
    </xf>
    <xf numFmtId="0" fontId="9" fillId="3" borderId="6" xfId="0" applyFont="1" applyFill="1" applyBorder="1" applyAlignment="1">
      <alignment horizontal="center"/>
    </xf>
    <xf numFmtId="0" fontId="9" fillId="3" borderId="7" xfId="0" applyFont="1" applyFill="1" applyBorder="1" applyAlignment="1">
      <alignment horizontal="center"/>
    </xf>
    <xf numFmtId="0" fontId="9" fillId="3" borderId="8" xfId="0" applyFont="1" applyFill="1" applyBorder="1" applyAlignment="1">
      <alignment horizontal="center"/>
    </xf>
    <xf numFmtId="0" fontId="3" fillId="0" borderId="0" xfId="0" quotePrefix="1" applyFont="1" applyBorder="1" applyAlignment="1">
      <alignment horizontal="left"/>
    </xf>
    <xf numFmtId="0" fontId="3" fillId="0" borderId="0" xfId="0" applyFont="1" applyBorder="1" applyAlignment="1">
      <alignment horizontal="left"/>
    </xf>
    <xf numFmtId="0" fontId="4" fillId="0" borderId="0" xfId="0" applyFont="1" applyAlignment="1">
      <alignment horizontal="left" vertical="justify"/>
    </xf>
    <xf numFmtId="0" fontId="9" fillId="0" borderId="14" xfId="0" applyFont="1" applyFill="1" applyBorder="1" applyAlignment="1"/>
    <xf numFmtId="0" fontId="9" fillId="0" borderId="32" xfId="0" applyFont="1" applyFill="1" applyBorder="1" applyAlignment="1"/>
    <xf numFmtId="0" fontId="9" fillId="0" borderId="18" xfId="0" applyFont="1" applyFill="1" applyBorder="1" applyAlignment="1"/>
    <xf numFmtId="0" fontId="3" fillId="0" borderId="6" xfId="0" applyFont="1" applyBorder="1" applyAlignment="1">
      <alignment horizontal="justify" vertical="justify"/>
    </xf>
    <xf numFmtId="0" fontId="3" fillId="0" borderId="7" xfId="0" applyFont="1" applyBorder="1" applyAlignment="1">
      <alignment horizontal="justify" vertical="justify"/>
    </xf>
    <xf numFmtId="0" fontId="3" fillId="0" borderId="8" xfId="0" applyFont="1" applyBorder="1" applyAlignment="1">
      <alignment horizontal="justify" vertical="justify"/>
    </xf>
    <xf numFmtId="0" fontId="23" fillId="0" borderId="21" xfId="0" applyFont="1" applyFill="1" applyBorder="1"/>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457200</xdr:colOff>
      <xdr:row>0</xdr:row>
      <xdr:rowOff>114300</xdr:rowOff>
    </xdr:from>
    <xdr:to>
      <xdr:col>4</xdr:col>
      <xdr:colOff>247650</xdr:colOff>
      <xdr:row>3</xdr:row>
      <xdr:rowOff>104775</xdr:rowOff>
    </xdr:to>
    <xdr:pic>
      <xdr:nvPicPr>
        <xdr:cNvPr id="17410" name="Picture 2">
          <a:extLst>
            <a:ext uri="{FF2B5EF4-FFF2-40B4-BE49-F238E27FC236}">
              <a16:creationId xmlns:a16="http://schemas.microsoft.com/office/drawing/2014/main" id="{68275400-31AE-F380-F507-B105C5D7A7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4425" y="114300"/>
          <a:ext cx="85725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2024-25/NICL/025-2024-25--Navdesh%20Chd---9488%20Alto.xls" TargetMode="External"/><Relationship Id="rId1" Type="http://schemas.openxmlformats.org/officeDocument/2006/relationships/externalLinkPath" Target="/2024-25/NICL/025-2024-25--Navdesh%20Chd---9488%20Alt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Sheet3"/>
      <sheetName val="Sheet2"/>
      <sheetName val="Sheet6"/>
      <sheetName val="Sheet5"/>
      <sheetName val="Sheet4"/>
      <sheetName val="Sheet7"/>
    </sheetNames>
    <sheetDataSet>
      <sheetData sheetId="0">
        <row r="142">
          <cell r="G142">
            <v>1000</v>
          </cell>
        </row>
        <row r="145">
          <cell r="G145">
            <v>0</v>
          </cell>
        </row>
      </sheetData>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7887F-2A27-4715-AE10-EF44FACC61FF}">
  <dimension ref="A2:Y985"/>
  <sheetViews>
    <sheetView tabSelected="1" topLeftCell="A139" zoomScaleNormal="100" workbookViewId="0">
      <selection activeCell="C159" sqref="C159"/>
    </sheetView>
  </sheetViews>
  <sheetFormatPr defaultRowHeight="12.75"/>
  <cols>
    <col min="1" max="1" width="5" style="1" customWidth="1"/>
    <col min="2" max="2" width="6" style="1" customWidth="1"/>
    <col min="3" max="3" width="14.83203125" style="1" customWidth="1"/>
    <col min="4" max="4" width="23" style="1" bestFit="1" customWidth="1"/>
    <col min="5" max="5" width="9.83203125" style="1" customWidth="1"/>
    <col min="6" max="9" width="11.83203125" style="1" customWidth="1"/>
    <col min="10" max="10" width="9.1640625" style="1" customWidth="1"/>
    <col min="11" max="11" width="14.83203125" style="1" customWidth="1"/>
    <col min="12" max="12" width="9.5" style="1" customWidth="1"/>
    <col min="13" max="13" width="19.33203125" style="1" customWidth="1"/>
    <col min="14" max="14" width="19" style="1" customWidth="1"/>
    <col min="15" max="15" width="11.33203125" style="1" customWidth="1"/>
    <col min="16" max="16" width="11.5" style="1" customWidth="1"/>
    <col min="17" max="17" width="11.1640625" style="1" customWidth="1"/>
    <col min="18" max="18" width="11.5" style="1" customWidth="1"/>
    <col min="19" max="19" width="11.33203125" style="1" customWidth="1"/>
    <col min="20" max="20" width="11.1640625" style="1" customWidth="1"/>
    <col min="21" max="16384" width="9.33203125" style="1"/>
  </cols>
  <sheetData>
    <row r="2" spans="1:25" ht="14.25">
      <c r="B2" s="56" t="s">
        <v>0</v>
      </c>
      <c r="I2" s="1" t="s">
        <v>1</v>
      </c>
    </row>
    <row r="3" spans="1:25">
      <c r="A3" s="2"/>
      <c r="B3" s="2" t="s">
        <v>2</v>
      </c>
      <c r="C3" s="22"/>
      <c r="D3" s="14"/>
      <c r="E3" s="2"/>
      <c r="F3" s="2"/>
      <c r="G3" s="2"/>
      <c r="H3" s="2"/>
      <c r="I3" s="2" t="s">
        <v>3</v>
      </c>
      <c r="K3" s="2"/>
      <c r="L3" s="2"/>
    </row>
    <row r="4" spans="1:25">
      <c r="A4" s="2"/>
      <c r="B4" s="1" t="s">
        <v>4</v>
      </c>
      <c r="C4" s="2"/>
      <c r="D4" s="2"/>
      <c r="E4" s="2"/>
      <c r="F4" s="2"/>
      <c r="G4" s="2"/>
      <c r="H4" s="4"/>
      <c r="I4" s="2" t="s">
        <v>5</v>
      </c>
      <c r="K4" s="2"/>
      <c r="L4" s="2"/>
    </row>
    <row r="5" spans="1:25">
      <c r="A5" s="2"/>
      <c r="B5" s="7" t="s">
        <v>6</v>
      </c>
      <c r="C5" s="7"/>
      <c r="D5" s="7"/>
      <c r="E5" s="7"/>
      <c r="F5" s="7"/>
      <c r="G5" s="7"/>
      <c r="H5" s="7"/>
      <c r="I5" s="7" t="s">
        <v>7</v>
      </c>
      <c r="J5" s="7"/>
      <c r="K5" s="7"/>
      <c r="L5" s="2"/>
    </row>
    <row r="6" spans="1:25" ht="3" customHeight="1" thickBot="1">
      <c r="A6" s="2"/>
      <c r="B6" s="55"/>
      <c r="C6" s="55"/>
      <c r="D6" s="55"/>
      <c r="E6" s="55"/>
      <c r="F6" s="55"/>
      <c r="G6" s="55"/>
      <c r="H6" s="55"/>
      <c r="I6" s="55"/>
      <c r="J6" s="55"/>
      <c r="K6" s="55"/>
      <c r="L6" s="2"/>
    </row>
    <row r="7" spans="1:25" ht="4.5" customHeight="1">
      <c r="A7" s="2"/>
      <c r="B7" s="2"/>
      <c r="C7" s="2"/>
      <c r="D7" s="2"/>
      <c r="E7" s="2"/>
      <c r="F7" s="2"/>
      <c r="G7" s="2"/>
      <c r="H7" s="2"/>
      <c r="I7" s="2"/>
      <c r="J7" s="2"/>
      <c r="K7" s="2"/>
      <c r="L7" s="2"/>
    </row>
    <row r="8" spans="1:25">
      <c r="A8" s="2"/>
      <c r="B8" s="4" t="s">
        <v>8</v>
      </c>
      <c r="C8" s="2" t="s">
        <v>9</v>
      </c>
      <c r="D8" s="278"/>
      <c r="E8" s="2"/>
      <c r="F8" s="2"/>
      <c r="G8" s="2"/>
      <c r="H8" s="2"/>
      <c r="I8" s="2"/>
      <c r="J8" s="9" t="s">
        <v>10</v>
      </c>
      <c r="K8" s="18" t="s">
        <v>11</v>
      </c>
      <c r="L8" s="2"/>
    </row>
    <row r="9" spans="1:25" ht="4.5" customHeight="1">
      <c r="A9" s="2"/>
      <c r="B9" s="4"/>
      <c r="C9" s="2"/>
      <c r="D9" s="2"/>
      <c r="E9" s="2"/>
      <c r="F9" s="2"/>
      <c r="G9" s="2"/>
      <c r="H9" s="2"/>
      <c r="I9" s="2"/>
      <c r="J9" s="9"/>
      <c r="K9" s="10"/>
      <c r="L9" s="2"/>
    </row>
    <row r="10" spans="1:25">
      <c r="A10" s="2"/>
      <c r="B10" s="11" t="s">
        <v>12</v>
      </c>
      <c r="C10" s="2"/>
      <c r="D10" s="2"/>
      <c r="E10" s="2"/>
      <c r="F10" s="2"/>
      <c r="G10" s="2"/>
      <c r="H10" s="2"/>
      <c r="I10" s="2"/>
      <c r="J10" s="2"/>
      <c r="K10" s="2"/>
      <c r="L10" s="2"/>
    </row>
    <row r="11" spans="1:25" ht="26.25" customHeight="1">
      <c r="A11" s="2"/>
      <c r="B11" s="280" t="s">
        <v>13</v>
      </c>
      <c r="C11" s="280"/>
      <c r="D11" s="280"/>
      <c r="E11" s="280"/>
      <c r="F11" s="280"/>
      <c r="G11" s="280"/>
      <c r="H11" s="280"/>
      <c r="I11" s="280"/>
      <c r="J11" s="280"/>
      <c r="K11" s="280"/>
      <c r="L11" s="2"/>
    </row>
    <row r="12" spans="1:25" ht="12.75" customHeight="1">
      <c r="A12" s="2"/>
      <c r="B12" s="2"/>
      <c r="C12" s="2"/>
      <c r="D12" s="2"/>
      <c r="E12" s="2"/>
      <c r="F12" s="2"/>
      <c r="G12" s="2"/>
      <c r="H12" s="2"/>
      <c r="I12" s="2"/>
      <c r="J12" s="2"/>
      <c r="K12" s="2"/>
      <c r="L12" s="2"/>
    </row>
    <row r="13" spans="1:25">
      <c r="A13" s="2"/>
      <c r="B13" s="12">
        <v>1</v>
      </c>
      <c r="C13" s="4" t="s">
        <v>14</v>
      </c>
      <c r="D13" s="2"/>
      <c r="E13" s="13"/>
      <c r="F13" s="12" t="s">
        <v>15</v>
      </c>
      <c r="G13" s="2" t="s">
        <v>16</v>
      </c>
      <c r="H13" s="2"/>
      <c r="I13" s="2"/>
      <c r="J13" s="9" t="s">
        <v>17</v>
      </c>
      <c r="K13" s="118">
        <v>1320000</v>
      </c>
    </row>
    <row r="14" spans="1:25">
      <c r="A14" s="11"/>
      <c r="B14" s="2"/>
      <c r="C14" s="2" t="s">
        <v>18</v>
      </c>
      <c r="D14" s="2"/>
      <c r="E14" s="13"/>
      <c r="F14" s="12" t="s">
        <v>15</v>
      </c>
      <c r="G14" s="2" t="s">
        <v>19</v>
      </c>
      <c r="H14" s="2"/>
      <c r="I14" s="2"/>
      <c r="J14" s="2"/>
      <c r="K14" s="2"/>
      <c r="W14" s="1" t="s">
        <v>20</v>
      </c>
      <c r="X14" s="1" t="s">
        <v>21</v>
      </c>
      <c r="Y14" s="1" t="s">
        <v>22</v>
      </c>
    </row>
    <row r="15" spans="1:25">
      <c r="A15" s="2"/>
      <c r="B15" s="2"/>
      <c r="D15" s="2"/>
      <c r="E15" s="13"/>
      <c r="F15" s="13"/>
      <c r="G15" s="2" t="s">
        <v>23</v>
      </c>
      <c r="H15" s="2"/>
      <c r="I15" s="2"/>
      <c r="J15" s="2"/>
      <c r="K15" s="2"/>
      <c r="W15" s="1">
        <v>64284</v>
      </c>
    </row>
    <row r="16" spans="1:25">
      <c r="A16" s="2"/>
      <c r="B16" s="2"/>
      <c r="C16" s="2" t="s">
        <v>24</v>
      </c>
      <c r="D16" s="2"/>
      <c r="E16" s="13"/>
      <c r="F16" s="12" t="s">
        <v>15</v>
      </c>
      <c r="G16" s="12" t="s">
        <v>25</v>
      </c>
      <c r="J16" s="9" t="s">
        <v>26</v>
      </c>
      <c r="K16" s="2" t="s">
        <v>27</v>
      </c>
      <c r="N16" s="60">
        <v>231390</v>
      </c>
    </row>
    <row r="17" spans="1:17" ht="12.75" customHeight="1">
      <c r="A17" s="2"/>
      <c r="B17" s="2"/>
      <c r="C17" s="2"/>
      <c r="D17" s="2"/>
      <c r="E17" s="2"/>
      <c r="F17" s="2"/>
      <c r="G17" s="2"/>
      <c r="H17" s="2"/>
      <c r="I17" s="2"/>
      <c r="J17" s="2"/>
      <c r="K17" s="2"/>
    </row>
    <row r="18" spans="1:17">
      <c r="A18" s="2"/>
      <c r="B18" s="12">
        <v>2</v>
      </c>
      <c r="C18" s="4" t="s">
        <v>28</v>
      </c>
      <c r="D18" s="2"/>
      <c r="E18" s="13"/>
      <c r="F18" s="12" t="s">
        <v>15</v>
      </c>
      <c r="G18" s="2" t="s">
        <v>29</v>
      </c>
      <c r="H18" s="2"/>
      <c r="I18" s="2"/>
      <c r="J18" s="2"/>
      <c r="K18" s="2"/>
    </row>
    <row r="19" spans="1:17" ht="12.75" customHeight="1">
      <c r="A19" s="12"/>
      <c r="B19" s="2"/>
      <c r="C19" s="2" t="s">
        <v>30</v>
      </c>
      <c r="D19" s="2"/>
      <c r="E19" s="13"/>
      <c r="F19" s="223" t="s">
        <v>15</v>
      </c>
      <c r="G19" s="227" t="s">
        <v>31</v>
      </c>
      <c r="H19" s="227"/>
      <c r="I19" s="227"/>
      <c r="J19" s="227"/>
      <c r="K19" s="227"/>
      <c r="Q19" s="1" t="s">
        <v>32</v>
      </c>
    </row>
    <row r="20" spans="1:17">
      <c r="A20" s="12"/>
      <c r="B20" s="2"/>
      <c r="C20" s="2" t="s">
        <v>33</v>
      </c>
      <c r="D20" s="2"/>
      <c r="E20" s="13"/>
      <c r="F20" s="12" t="s">
        <v>15</v>
      </c>
      <c r="G20" s="261" t="s">
        <v>34</v>
      </c>
      <c r="H20" s="2"/>
      <c r="I20" s="2"/>
      <c r="J20" s="2"/>
      <c r="K20" s="2"/>
      <c r="Q20" s="1" t="s">
        <v>35</v>
      </c>
    </row>
    <row r="21" spans="1:17" ht="12.75" customHeight="1">
      <c r="A21" s="12"/>
      <c r="B21" s="4"/>
      <c r="C21" s="2"/>
      <c r="D21" s="2"/>
      <c r="E21" s="2"/>
      <c r="F21" s="2"/>
      <c r="G21" s="2"/>
      <c r="H21" s="2"/>
      <c r="I21" s="2"/>
      <c r="J21" s="2"/>
      <c r="K21" s="2"/>
      <c r="Q21" s="1" t="s">
        <v>36</v>
      </c>
    </row>
    <row r="22" spans="1:17">
      <c r="A22" s="2"/>
      <c r="B22" s="12">
        <v>3</v>
      </c>
      <c r="C22" s="4" t="s">
        <v>37</v>
      </c>
      <c r="D22" s="2"/>
      <c r="E22" s="13"/>
      <c r="F22" s="12" t="s">
        <v>15</v>
      </c>
      <c r="G22" s="2" t="s">
        <v>38</v>
      </c>
      <c r="H22" s="2"/>
      <c r="I22" s="2"/>
      <c r="J22" s="2"/>
      <c r="K22" s="2"/>
    </row>
    <row r="23" spans="1:17">
      <c r="A23" s="12"/>
      <c r="B23" s="4"/>
      <c r="C23" s="2"/>
      <c r="D23" s="2"/>
      <c r="E23" s="2"/>
      <c r="F23" s="2"/>
      <c r="G23" s="2"/>
      <c r="H23" s="2"/>
      <c r="I23" s="2"/>
      <c r="J23" s="2"/>
      <c r="K23" s="2"/>
    </row>
    <row r="24" spans="1:17">
      <c r="A24" s="2"/>
      <c r="B24" s="12">
        <v>4</v>
      </c>
      <c r="C24" s="4" t="s">
        <v>39</v>
      </c>
      <c r="D24" s="2"/>
      <c r="E24" s="13"/>
      <c r="F24" s="12" t="s">
        <v>15</v>
      </c>
      <c r="G24" s="4" t="s">
        <v>40</v>
      </c>
      <c r="H24" s="2"/>
      <c r="I24" s="2"/>
      <c r="J24" s="2"/>
      <c r="K24" s="2"/>
    </row>
    <row r="25" spans="1:17">
      <c r="A25" s="2"/>
      <c r="B25" s="2"/>
      <c r="C25" s="2" t="s">
        <v>41</v>
      </c>
      <c r="D25" s="2"/>
      <c r="E25" s="13"/>
      <c r="F25" s="12" t="s">
        <v>15</v>
      </c>
      <c r="G25" s="4" t="s">
        <v>42</v>
      </c>
      <c r="H25" s="2"/>
      <c r="I25" s="4"/>
      <c r="J25" s="2"/>
      <c r="K25" s="2"/>
    </row>
    <row r="26" spans="1:17">
      <c r="A26" s="2"/>
      <c r="B26" s="2"/>
      <c r="C26" s="2" t="s">
        <v>43</v>
      </c>
      <c r="D26" s="2"/>
      <c r="E26" s="13"/>
      <c r="F26" s="12" t="s">
        <v>15</v>
      </c>
      <c r="G26" s="279" t="s">
        <v>44</v>
      </c>
      <c r="H26" s="2"/>
      <c r="I26" s="2"/>
      <c r="J26" s="2"/>
      <c r="K26" s="2"/>
    </row>
    <row r="27" spans="1:17">
      <c r="A27" s="2"/>
      <c r="B27" s="2"/>
      <c r="C27" s="2" t="s">
        <v>45</v>
      </c>
      <c r="D27" s="2"/>
      <c r="E27" s="13"/>
      <c r="F27" s="12" t="s">
        <v>15</v>
      </c>
      <c r="G27" s="279" t="s">
        <v>46</v>
      </c>
      <c r="H27" s="2"/>
      <c r="I27" s="2"/>
      <c r="J27" s="2"/>
      <c r="K27" s="2"/>
    </row>
    <row r="28" spans="1:17">
      <c r="A28" s="2"/>
      <c r="B28" s="2"/>
      <c r="C28" s="23"/>
      <c r="D28" s="24"/>
      <c r="E28" s="122"/>
      <c r="F28" s="123"/>
      <c r="G28" s="289" t="s">
        <v>47</v>
      </c>
      <c r="H28" s="288"/>
      <c r="I28" s="281" t="s">
        <v>48</v>
      </c>
      <c r="J28" s="282"/>
      <c r="K28" s="124" t="s">
        <v>49</v>
      </c>
    </row>
    <row r="29" spans="1:17">
      <c r="A29" s="2"/>
      <c r="B29" s="2"/>
      <c r="C29" s="3" t="s">
        <v>50</v>
      </c>
      <c r="D29" s="2"/>
      <c r="E29" s="13"/>
      <c r="F29" s="12" t="s">
        <v>15</v>
      </c>
      <c r="G29" s="285" t="s">
        <v>51</v>
      </c>
      <c r="H29" s="286"/>
      <c r="I29" s="281" t="str">
        <f>G29</f>
        <v>033264</v>
      </c>
      <c r="J29" s="282"/>
      <c r="K29" s="124" t="str">
        <f>G29</f>
        <v>033264</v>
      </c>
    </row>
    <row r="30" spans="1:17">
      <c r="A30" s="2"/>
      <c r="B30" s="2"/>
      <c r="C30" s="6" t="s">
        <v>52</v>
      </c>
      <c r="D30" s="7"/>
      <c r="E30" s="277"/>
      <c r="F30" s="121" t="s">
        <v>15</v>
      </c>
      <c r="G30" s="287">
        <v>172413</v>
      </c>
      <c r="H30" s="288"/>
      <c r="I30" s="283">
        <f>G30</f>
        <v>172413</v>
      </c>
      <c r="J30" s="284"/>
      <c r="K30" s="125">
        <f>G30</f>
        <v>172413</v>
      </c>
    </row>
    <row r="31" spans="1:17">
      <c r="A31" s="2"/>
      <c r="B31" s="2"/>
      <c r="C31" s="2" t="s">
        <v>53</v>
      </c>
      <c r="D31" s="2"/>
      <c r="E31" s="15"/>
      <c r="F31" s="12" t="s">
        <v>15</v>
      </c>
      <c r="G31" s="4" t="s">
        <v>54</v>
      </c>
      <c r="H31" s="2"/>
      <c r="I31" s="2"/>
      <c r="J31" s="2"/>
      <c r="K31" s="2"/>
    </row>
    <row r="32" spans="1:17">
      <c r="A32" s="2"/>
      <c r="B32" s="2"/>
      <c r="C32" s="2" t="s">
        <v>55</v>
      </c>
      <c r="D32" s="2"/>
      <c r="E32" s="13"/>
      <c r="F32" s="12" t="s">
        <v>15</v>
      </c>
      <c r="G32" s="2" t="s">
        <v>56</v>
      </c>
      <c r="H32" s="2"/>
      <c r="I32" s="2"/>
      <c r="J32" s="2"/>
      <c r="K32" s="2"/>
      <c r="M32" s="59"/>
    </row>
    <row r="33" spans="1:16">
      <c r="A33" s="2"/>
      <c r="B33" s="2"/>
      <c r="C33" s="2" t="s">
        <v>57</v>
      </c>
      <c r="D33" s="2"/>
      <c r="E33" s="13"/>
      <c r="F33" s="12" t="s">
        <v>15</v>
      </c>
      <c r="G33" s="2" t="s">
        <v>58</v>
      </c>
      <c r="H33" s="2"/>
      <c r="I33" s="2"/>
      <c r="J33" s="2"/>
      <c r="K33" s="2"/>
    </row>
    <row r="34" spans="1:16">
      <c r="A34" s="2"/>
      <c r="B34" s="2"/>
      <c r="C34" s="2" t="s">
        <v>59</v>
      </c>
      <c r="D34" s="2"/>
      <c r="E34" s="13"/>
      <c r="F34" s="12" t="s">
        <v>15</v>
      </c>
      <c r="G34" s="2" t="s">
        <v>60</v>
      </c>
      <c r="H34" s="2"/>
      <c r="I34" s="2"/>
    </row>
    <row r="35" spans="1:16">
      <c r="A35" s="2"/>
      <c r="B35" s="2"/>
      <c r="C35" s="2" t="s">
        <v>61</v>
      </c>
      <c r="D35" s="2"/>
      <c r="E35" s="13"/>
      <c r="F35" s="12" t="s">
        <v>15</v>
      </c>
      <c r="G35" s="58" t="s">
        <v>62</v>
      </c>
      <c r="H35" s="2"/>
      <c r="I35" s="2"/>
      <c r="J35" s="104" t="s">
        <v>63</v>
      </c>
      <c r="K35" s="105"/>
    </row>
    <row r="36" spans="1:16">
      <c r="A36" s="2"/>
      <c r="B36" s="2"/>
      <c r="C36" s="2" t="s">
        <v>64</v>
      </c>
      <c r="D36" s="2"/>
      <c r="E36" s="13"/>
      <c r="F36" s="12" t="s">
        <v>15</v>
      </c>
      <c r="G36" s="2" t="s">
        <v>65</v>
      </c>
      <c r="H36" s="2"/>
      <c r="I36" s="2"/>
      <c r="J36" s="62" t="s">
        <v>66</v>
      </c>
      <c r="K36" s="63" t="s">
        <v>67</v>
      </c>
    </row>
    <row r="37" spans="1:16">
      <c r="A37" s="2"/>
      <c r="B37" s="2"/>
      <c r="C37" s="2" t="s">
        <v>68</v>
      </c>
      <c r="D37" s="2"/>
      <c r="E37" s="13"/>
      <c r="F37" s="12" t="s">
        <v>15</v>
      </c>
      <c r="G37" s="57">
        <v>5</v>
      </c>
      <c r="H37" s="2"/>
      <c r="I37" s="2"/>
      <c r="P37" s="75"/>
    </row>
    <row r="38" spans="1:16">
      <c r="A38" s="2"/>
      <c r="B38" s="2"/>
      <c r="C38" s="2" t="s">
        <v>69</v>
      </c>
      <c r="D38" s="2"/>
      <c r="E38" s="13"/>
      <c r="F38" s="12" t="s">
        <v>15</v>
      </c>
      <c r="G38" s="2" t="s">
        <v>70</v>
      </c>
      <c r="H38" s="2"/>
      <c r="P38" s="75"/>
    </row>
    <row r="39" spans="1:16">
      <c r="A39" s="2"/>
      <c r="B39" s="2"/>
      <c r="C39" s="2" t="s">
        <v>71</v>
      </c>
      <c r="D39" s="2"/>
      <c r="E39" s="13"/>
      <c r="F39" s="12" t="s">
        <v>15</v>
      </c>
      <c r="G39" s="2" t="str">
        <f>G18</f>
        <v>Mr JAGDEEP KUMAR</v>
      </c>
      <c r="H39" s="2"/>
      <c r="P39" s="75"/>
    </row>
    <row r="40" spans="1:16">
      <c r="A40" s="2"/>
      <c r="B40" s="2"/>
      <c r="C40" s="2"/>
      <c r="D40" s="2"/>
      <c r="E40" s="17"/>
      <c r="F40" s="17"/>
      <c r="G40" s="2"/>
      <c r="H40" s="2"/>
      <c r="I40" s="2"/>
    </row>
    <row r="41" spans="1:16">
      <c r="A41" s="2"/>
      <c r="B41" s="12">
        <v>5</v>
      </c>
      <c r="C41" s="4" t="s">
        <v>72</v>
      </c>
      <c r="D41" s="2"/>
      <c r="E41" s="13"/>
      <c r="F41" s="12" t="s">
        <v>15</v>
      </c>
      <c r="G41" s="4" t="s">
        <v>73</v>
      </c>
      <c r="H41" s="2"/>
      <c r="I41" s="2"/>
      <c r="J41" s="2"/>
      <c r="K41" s="2"/>
    </row>
    <row r="42" spans="1:16">
      <c r="A42" s="2"/>
      <c r="B42" s="2"/>
      <c r="C42" s="2" t="s">
        <v>74</v>
      </c>
      <c r="D42" s="2"/>
      <c r="E42" s="13"/>
      <c r="F42" s="12" t="s">
        <v>15</v>
      </c>
      <c r="G42" s="2" t="s">
        <v>29</v>
      </c>
      <c r="H42" s="2"/>
      <c r="I42" s="2"/>
      <c r="J42" s="228" t="s">
        <v>75</v>
      </c>
      <c r="K42" s="226" t="s">
        <v>76</v>
      </c>
    </row>
    <row r="43" spans="1:16" ht="12.75" customHeight="1">
      <c r="A43" s="2"/>
      <c r="B43" s="2"/>
      <c r="C43" s="224" t="s">
        <v>77</v>
      </c>
      <c r="D43" s="224"/>
      <c r="E43" s="225"/>
      <c r="F43" s="223" t="s">
        <v>15</v>
      </c>
      <c r="G43" s="227" t="s">
        <v>78</v>
      </c>
      <c r="H43" s="226"/>
      <c r="I43" s="226"/>
    </row>
    <row r="44" spans="1:16">
      <c r="A44" s="2"/>
      <c r="B44" s="2"/>
      <c r="C44" s="2" t="s">
        <v>79</v>
      </c>
      <c r="D44" s="2"/>
      <c r="E44" s="13"/>
      <c r="F44" s="12" t="s">
        <v>15</v>
      </c>
      <c r="G44" s="59" t="s">
        <v>80</v>
      </c>
      <c r="H44" s="2"/>
      <c r="J44" s="9" t="s">
        <v>81</v>
      </c>
      <c r="K44" s="1" t="s">
        <v>82</v>
      </c>
    </row>
    <row r="45" spans="1:16">
      <c r="A45" s="2"/>
      <c r="B45" s="2"/>
      <c r="C45" s="4" t="s">
        <v>83</v>
      </c>
      <c r="D45" s="2"/>
      <c r="E45" s="13"/>
      <c r="F45" s="12" t="s">
        <v>15</v>
      </c>
      <c r="G45" s="60" t="s">
        <v>84</v>
      </c>
      <c r="H45" s="2"/>
      <c r="I45" s="75" t="s">
        <v>85</v>
      </c>
      <c r="L45" s="2"/>
      <c r="M45" s="106"/>
    </row>
    <row r="46" spans="1:16">
      <c r="A46" s="2"/>
      <c r="B46" s="2"/>
      <c r="C46" s="2" t="s">
        <v>86</v>
      </c>
      <c r="D46" s="2"/>
      <c r="E46" s="13"/>
      <c r="F46" s="12" t="s">
        <v>15</v>
      </c>
      <c r="G46" s="2" t="s">
        <v>87</v>
      </c>
      <c r="H46" s="2"/>
      <c r="I46" s="2"/>
      <c r="J46" s="2"/>
      <c r="K46" s="2"/>
    </row>
    <row r="47" spans="1:16">
      <c r="A47" s="2"/>
      <c r="B47" s="2"/>
      <c r="C47" s="2" t="s">
        <v>88</v>
      </c>
      <c r="D47" s="2"/>
      <c r="E47" s="13"/>
      <c r="F47" s="12" t="s">
        <v>15</v>
      </c>
      <c r="G47" s="77" t="s">
        <v>89</v>
      </c>
      <c r="H47" s="2"/>
      <c r="I47" s="2"/>
      <c r="J47" s="2"/>
      <c r="K47" s="2"/>
    </row>
    <row r="48" spans="1:16">
      <c r="A48" s="2"/>
      <c r="B48" s="2"/>
      <c r="C48" s="2" t="s">
        <v>90</v>
      </c>
      <c r="D48" s="2"/>
      <c r="E48" s="13"/>
      <c r="F48" s="12" t="s">
        <v>15</v>
      </c>
      <c r="G48" s="59" t="s">
        <v>91</v>
      </c>
      <c r="H48" s="2"/>
      <c r="I48" s="2"/>
      <c r="J48" s="2"/>
      <c r="K48" s="2"/>
    </row>
    <row r="49" spans="1:14">
      <c r="A49" s="2"/>
      <c r="B49" s="2"/>
      <c r="C49" s="2" t="s">
        <v>92</v>
      </c>
      <c r="D49" s="2"/>
      <c r="E49" s="13"/>
      <c r="F49" s="12" t="s">
        <v>15</v>
      </c>
      <c r="G49" s="2" t="s">
        <v>93</v>
      </c>
      <c r="H49" s="14"/>
      <c r="I49" s="2"/>
      <c r="J49" s="2"/>
      <c r="K49" s="2"/>
    </row>
    <row r="50" spans="1:14">
      <c r="A50" s="2"/>
      <c r="B50" s="2"/>
      <c r="C50" s="2"/>
      <c r="D50" s="2"/>
      <c r="E50" s="17"/>
      <c r="F50" s="279"/>
      <c r="G50" s="2"/>
      <c r="H50" s="2"/>
      <c r="I50" s="2"/>
      <c r="J50" s="2"/>
      <c r="K50" s="2"/>
    </row>
    <row r="51" spans="1:14">
      <c r="A51" s="2"/>
      <c r="B51" s="12">
        <v>6</v>
      </c>
      <c r="C51" s="4" t="s">
        <v>94</v>
      </c>
      <c r="D51" s="2"/>
      <c r="E51" s="17"/>
      <c r="F51" s="17"/>
      <c r="G51" s="2"/>
      <c r="H51" s="2"/>
      <c r="I51" s="2"/>
      <c r="J51" s="2"/>
      <c r="K51" s="2"/>
    </row>
    <row r="52" spans="1:14">
      <c r="A52" s="2"/>
      <c r="B52" s="2"/>
      <c r="C52" s="2" t="s">
        <v>95</v>
      </c>
      <c r="D52" s="2"/>
      <c r="E52" s="13"/>
      <c r="F52" s="12" t="s">
        <v>15</v>
      </c>
      <c r="G52" s="18" t="s">
        <v>96</v>
      </c>
      <c r="H52" s="2"/>
      <c r="I52" s="2"/>
      <c r="J52" s="2"/>
      <c r="K52" s="2"/>
      <c r="N52" s="75" t="s">
        <v>97</v>
      </c>
    </row>
    <row r="53" spans="1:14">
      <c r="A53" s="2"/>
      <c r="B53" s="2"/>
      <c r="C53" s="2" t="s">
        <v>98</v>
      </c>
      <c r="D53" s="2"/>
      <c r="E53" s="13"/>
      <c r="F53" s="12" t="s">
        <v>15</v>
      </c>
      <c r="G53" s="14" t="s">
        <v>99</v>
      </c>
      <c r="H53" s="2"/>
      <c r="I53" s="2"/>
      <c r="J53" s="2"/>
      <c r="K53" s="2"/>
    </row>
    <row r="54" spans="1:14">
      <c r="A54" s="2"/>
      <c r="B54" s="2"/>
      <c r="C54" s="2"/>
      <c r="D54" s="2"/>
      <c r="E54" s="19"/>
      <c r="F54" s="20"/>
      <c r="G54" s="2"/>
      <c r="H54" s="2"/>
      <c r="I54" s="2"/>
      <c r="J54" s="2"/>
      <c r="K54" s="2"/>
    </row>
    <row r="55" spans="1:14">
      <c r="A55" s="2"/>
      <c r="B55" s="12">
        <v>7</v>
      </c>
      <c r="C55" s="4" t="s">
        <v>100</v>
      </c>
      <c r="D55" s="2"/>
      <c r="E55" s="17"/>
      <c r="F55" s="17"/>
      <c r="G55" s="2"/>
      <c r="H55" s="2"/>
      <c r="I55" s="2"/>
      <c r="J55" s="2"/>
      <c r="K55" s="2"/>
    </row>
    <row r="56" spans="1:14">
      <c r="A56" s="2"/>
      <c r="B56" s="2"/>
      <c r="C56" s="2" t="s">
        <v>101</v>
      </c>
      <c r="D56" s="2"/>
      <c r="E56" s="13"/>
      <c r="F56" s="12" t="s">
        <v>15</v>
      </c>
      <c r="G56" s="2" t="s">
        <v>102</v>
      </c>
      <c r="H56" s="144"/>
      <c r="I56" s="2"/>
      <c r="J56" s="2"/>
      <c r="K56" s="2"/>
    </row>
    <row r="57" spans="1:14">
      <c r="A57" s="2"/>
      <c r="B57" s="2"/>
      <c r="C57" s="257" t="s">
        <v>103</v>
      </c>
      <c r="D57" s="257"/>
      <c r="E57" s="13"/>
      <c r="F57" s="12" t="s">
        <v>15</v>
      </c>
      <c r="G57" s="257" t="s">
        <v>104</v>
      </c>
      <c r="H57" s="258" t="s">
        <v>105</v>
      </c>
      <c r="I57" s="2"/>
      <c r="J57" s="2"/>
      <c r="K57" s="2"/>
    </row>
    <row r="58" spans="1:14">
      <c r="A58" s="2"/>
      <c r="B58" s="14"/>
      <c r="C58" s="14" t="s">
        <v>106</v>
      </c>
      <c r="D58" s="14"/>
      <c r="E58" s="138"/>
      <c r="F58" s="20" t="s">
        <v>15</v>
      </c>
      <c r="G58" s="14" t="s">
        <v>107</v>
      </c>
      <c r="H58" s="14"/>
      <c r="I58" s="14"/>
      <c r="J58" s="14"/>
      <c r="K58" s="14"/>
      <c r="L58" s="140"/>
    </row>
    <row r="59" spans="1:14">
      <c r="A59" s="2"/>
      <c r="B59" s="2"/>
      <c r="C59" s="2" t="s">
        <v>108</v>
      </c>
      <c r="D59" s="2"/>
      <c r="E59" s="13"/>
      <c r="F59" s="12" t="s">
        <v>15</v>
      </c>
      <c r="G59" s="2" t="s">
        <v>109</v>
      </c>
      <c r="H59" s="2"/>
      <c r="I59" s="2"/>
      <c r="J59" s="2"/>
      <c r="K59" s="2"/>
    </row>
    <row r="60" spans="1:14">
      <c r="A60" s="2"/>
      <c r="B60" s="2"/>
      <c r="C60" s="2"/>
      <c r="D60" s="2"/>
      <c r="E60" s="13"/>
      <c r="F60" s="12"/>
      <c r="G60" s="2"/>
      <c r="H60" s="2"/>
      <c r="I60" s="2"/>
      <c r="J60" s="2"/>
      <c r="K60" s="2"/>
    </row>
    <row r="61" spans="1:14">
      <c r="A61" s="2"/>
      <c r="B61" s="2"/>
      <c r="C61" s="2"/>
      <c r="D61" s="2"/>
      <c r="E61" s="13"/>
      <c r="F61" s="12"/>
      <c r="G61" s="2"/>
      <c r="H61" s="2"/>
      <c r="I61" s="2"/>
      <c r="J61" s="2"/>
      <c r="K61" s="2"/>
    </row>
    <row r="62" spans="1:14">
      <c r="A62" s="2"/>
      <c r="B62" s="12">
        <v>8</v>
      </c>
      <c r="C62" s="257" t="s">
        <v>110</v>
      </c>
      <c r="D62" s="256"/>
      <c r="E62" s="15"/>
      <c r="F62" s="12"/>
      <c r="H62" s="2"/>
      <c r="I62" s="2"/>
      <c r="J62" s="2"/>
      <c r="K62" s="2"/>
    </row>
    <row r="63" spans="1:14">
      <c r="A63" s="2"/>
      <c r="B63" s="12"/>
      <c r="C63" s="2" t="s">
        <v>111</v>
      </c>
      <c r="D63" s="2"/>
      <c r="E63" s="15"/>
      <c r="F63" s="12" t="s">
        <v>15</v>
      </c>
      <c r="G63" s="257" t="s">
        <v>112</v>
      </c>
      <c r="H63" s="257"/>
      <c r="J63" s="2" t="s">
        <v>113</v>
      </c>
      <c r="K63" s="2"/>
    </row>
    <row r="64" spans="1:14">
      <c r="A64" s="2"/>
      <c r="B64" s="12"/>
      <c r="C64" s="2" t="s">
        <v>77</v>
      </c>
      <c r="D64" s="2"/>
      <c r="E64" s="15"/>
      <c r="F64" s="12" t="s">
        <v>15</v>
      </c>
      <c r="G64" s="2" t="s">
        <v>114</v>
      </c>
      <c r="H64" s="2"/>
      <c r="I64" s="2"/>
      <c r="J64" s="2"/>
      <c r="K64" s="2"/>
    </row>
    <row r="65" spans="1:14">
      <c r="A65" s="2"/>
      <c r="G65" s="2"/>
      <c r="H65" s="2"/>
      <c r="I65" s="2"/>
      <c r="J65" s="2"/>
      <c r="K65" s="2"/>
    </row>
    <row r="66" spans="1:14">
      <c r="A66" s="2"/>
      <c r="B66" s="12">
        <v>9</v>
      </c>
      <c r="C66" s="4" t="s">
        <v>115</v>
      </c>
      <c r="D66" s="2"/>
      <c r="E66" s="13"/>
      <c r="F66" s="12" t="s">
        <v>15</v>
      </c>
      <c r="G66" s="14" t="s">
        <v>116</v>
      </c>
      <c r="H66" s="2"/>
      <c r="I66" s="2"/>
      <c r="J66" s="2"/>
      <c r="K66" s="2"/>
    </row>
    <row r="67" spans="1:14">
      <c r="A67" s="2"/>
      <c r="B67" s="12"/>
      <c r="C67" s="4"/>
      <c r="D67" s="2"/>
      <c r="E67" s="15"/>
      <c r="F67" s="12"/>
      <c r="G67" s="2"/>
      <c r="H67" s="2"/>
      <c r="I67" s="2"/>
      <c r="J67" s="2"/>
      <c r="K67" s="2"/>
    </row>
    <row r="68" spans="1:14">
      <c r="A68" s="2"/>
      <c r="B68" s="12">
        <v>10</v>
      </c>
      <c r="C68" s="4" t="s">
        <v>117</v>
      </c>
      <c r="D68" s="2"/>
      <c r="E68" s="13"/>
      <c r="F68" s="12" t="s">
        <v>15</v>
      </c>
      <c r="G68" s="14" t="s">
        <v>116</v>
      </c>
      <c r="H68" s="2"/>
      <c r="I68" s="2"/>
      <c r="J68" s="2"/>
      <c r="K68" s="2"/>
    </row>
    <row r="69" spans="1:14">
      <c r="A69" s="2"/>
      <c r="B69" s="2"/>
      <c r="C69" s="2"/>
      <c r="D69" s="2"/>
      <c r="E69" s="2"/>
      <c r="F69" s="2"/>
      <c r="G69" s="2"/>
      <c r="H69" s="2"/>
      <c r="I69" s="2"/>
      <c r="J69" s="2"/>
      <c r="K69" s="2"/>
      <c r="L69" s="2"/>
    </row>
    <row r="70" spans="1:14">
      <c r="A70" s="2"/>
      <c r="B70" s="12">
        <v>11</v>
      </c>
      <c r="C70" s="4" t="s">
        <v>118</v>
      </c>
      <c r="D70" s="2"/>
      <c r="E70" s="17"/>
      <c r="F70" s="17"/>
      <c r="G70" s="2"/>
      <c r="H70" s="2"/>
      <c r="I70" s="2"/>
      <c r="J70" s="2"/>
      <c r="K70" s="2"/>
      <c r="L70" s="2"/>
    </row>
    <row r="71" spans="1:14">
      <c r="A71" s="2"/>
      <c r="B71" s="12"/>
      <c r="C71" s="2" t="s">
        <v>119</v>
      </c>
      <c r="D71" s="2"/>
      <c r="E71" s="17"/>
      <c r="F71" s="17"/>
      <c r="G71" s="2"/>
      <c r="H71" s="2"/>
      <c r="I71" s="2"/>
      <c r="J71" s="2"/>
      <c r="K71" s="2"/>
      <c r="L71" s="2"/>
    </row>
    <row r="72" spans="1:14">
      <c r="A72" s="2"/>
      <c r="B72" s="12"/>
      <c r="C72" s="290" t="s">
        <v>120</v>
      </c>
      <c r="D72" s="290"/>
      <c r="E72" s="290"/>
      <c r="F72" s="290"/>
      <c r="G72" s="290"/>
      <c r="H72" s="290"/>
      <c r="I72" s="290"/>
      <c r="J72" s="290"/>
      <c r="K72" s="290"/>
      <c r="L72" s="2"/>
      <c r="M72" s="2"/>
    </row>
    <row r="73" spans="1:14">
      <c r="A73" s="2"/>
      <c r="B73" s="2"/>
      <c r="C73" s="2"/>
      <c r="D73" s="2"/>
      <c r="E73" s="2"/>
      <c r="F73" s="2"/>
      <c r="G73" s="2"/>
      <c r="H73" s="2"/>
      <c r="I73" s="2"/>
      <c r="J73" s="2"/>
      <c r="K73" s="2"/>
      <c r="L73" s="2"/>
    </row>
    <row r="74" spans="1:14" ht="15" customHeight="1">
      <c r="A74" s="2"/>
      <c r="B74" s="12">
        <v>12</v>
      </c>
      <c r="C74" s="4" t="s">
        <v>121</v>
      </c>
      <c r="D74" s="2"/>
      <c r="E74" s="2"/>
      <c r="F74" s="2"/>
      <c r="G74" s="2"/>
      <c r="H74" s="2"/>
      <c r="I74" s="2"/>
      <c r="J74" s="2"/>
      <c r="K74" s="2"/>
      <c r="L74" s="2"/>
    </row>
    <row r="75" spans="1:14" ht="55.5" customHeight="1">
      <c r="A75" s="2"/>
      <c r="B75" s="12"/>
      <c r="C75" s="280" t="s">
        <v>122</v>
      </c>
      <c r="D75" s="280"/>
      <c r="E75" s="280"/>
      <c r="F75" s="280"/>
      <c r="G75" s="280"/>
      <c r="H75" s="280"/>
      <c r="I75" s="280"/>
      <c r="J75" s="280"/>
      <c r="K75" s="280"/>
      <c r="L75" s="2"/>
    </row>
    <row r="76" spans="1:14">
      <c r="A76" s="17"/>
      <c r="B76" s="21"/>
      <c r="C76" s="21"/>
      <c r="D76" s="21"/>
      <c r="E76" s="21"/>
      <c r="F76" s="21"/>
      <c r="G76" s="21"/>
      <c r="H76" s="21"/>
      <c r="I76" s="21"/>
      <c r="J76" s="21"/>
      <c r="K76" s="2"/>
      <c r="L76" s="2"/>
    </row>
    <row r="77" spans="1:14">
      <c r="A77" s="2"/>
      <c r="B77" s="12">
        <v>13</v>
      </c>
      <c r="C77" s="4" t="s">
        <v>123</v>
      </c>
      <c r="D77" s="2"/>
      <c r="E77" s="2"/>
      <c r="F77" s="2"/>
      <c r="G77" s="2"/>
      <c r="H77" s="2"/>
      <c r="I77" s="4"/>
      <c r="J77" s="2"/>
      <c r="K77" s="2"/>
    </row>
    <row r="78" spans="1:14">
      <c r="A78" s="2"/>
      <c r="B78" s="12"/>
      <c r="C78" s="2" t="s">
        <v>124</v>
      </c>
      <c r="D78" s="2"/>
      <c r="E78" s="2"/>
      <c r="F78" s="2"/>
      <c r="G78" s="2"/>
      <c r="H78" s="2"/>
      <c r="I78" s="4"/>
      <c r="J78" s="2"/>
      <c r="K78" s="2"/>
      <c r="N78" s="1">
        <v>2371.12</v>
      </c>
    </row>
    <row r="79" spans="1:14">
      <c r="A79" s="2"/>
      <c r="B79" s="12"/>
      <c r="C79" s="2"/>
      <c r="D79" s="2"/>
      <c r="E79" s="2"/>
      <c r="F79" s="2"/>
      <c r="G79" s="2"/>
      <c r="H79" s="2"/>
      <c r="I79" s="4"/>
      <c r="J79" s="2"/>
      <c r="K79" s="2"/>
      <c r="N79" s="1">
        <v>882.9</v>
      </c>
    </row>
    <row r="80" spans="1:14" ht="12.75" customHeight="1">
      <c r="A80" s="2"/>
      <c r="B80" s="12">
        <v>14</v>
      </c>
      <c r="C80" s="4" t="s">
        <v>125</v>
      </c>
      <c r="D80" s="2"/>
      <c r="E80" s="2"/>
      <c r="F80" s="2"/>
      <c r="G80" s="2"/>
      <c r="H80" s="2"/>
      <c r="I80" s="4"/>
      <c r="J80" s="2"/>
      <c r="K80" s="2"/>
    </row>
    <row r="81" spans="1:11" ht="12.75" customHeight="1">
      <c r="A81" s="2"/>
      <c r="B81" s="64">
        <v>1</v>
      </c>
      <c r="C81" s="2" t="s">
        <v>126</v>
      </c>
      <c r="D81" s="2"/>
      <c r="E81" s="2"/>
      <c r="F81" s="2"/>
      <c r="G81" s="2"/>
      <c r="H81" s="2"/>
      <c r="I81" s="4"/>
      <c r="J81" s="2"/>
      <c r="K81" s="2"/>
    </row>
    <row r="82" spans="1:11" ht="12.75" customHeight="1">
      <c r="A82" s="2"/>
      <c r="B82" s="64">
        <v>2</v>
      </c>
      <c r="C82" s="2" t="s">
        <v>127</v>
      </c>
      <c r="D82" s="2"/>
      <c r="E82" s="2"/>
      <c r="F82" s="2"/>
      <c r="G82" s="2"/>
      <c r="H82" s="2"/>
      <c r="I82" s="4"/>
      <c r="J82" s="2"/>
      <c r="K82" s="2"/>
    </row>
    <row r="83" spans="1:11" ht="12.75" customHeight="1">
      <c r="A83" s="2"/>
      <c r="B83" s="64">
        <v>3</v>
      </c>
      <c r="C83" s="2" t="s">
        <v>128</v>
      </c>
      <c r="D83" s="2"/>
      <c r="E83" s="2"/>
      <c r="F83" s="2"/>
      <c r="G83" s="2"/>
      <c r="H83" s="2"/>
      <c r="I83" s="4"/>
      <c r="J83" s="2"/>
      <c r="K83" s="2"/>
    </row>
    <row r="84" spans="1:11" ht="12.75" customHeight="1">
      <c r="A84" s="2"/>
      <c r="B84" s="64">
        <v>4</v>
      </c>
      <c r="C84" s="14" t="s">
        <v>129</v>
      </c>
      <c r="D84" s="2"/>
      <c r="E84" s="2"/>
      <c r="F84" s="2"/>
      <c r="G84" s="2"/>
      <c r="H84" s="2"/>
      <c r="I84" s="4"/>
      <c r="J84" s="2"/>
      <c r="K84" s="2"/>
    </row>
    <row r="85" spans="1:11" ht="12.75" customHeight="1">
      <c r="A85" s="2"/>
      <c r="B85" s="64">
        <v>5</v>
      </c>
      <c r="C85" s="14" t="s">
        <v>130</v>
      </c>
      <c r="D85" s="2"/>
      <c r="E85" s="2"/>
      <c r="F85" s="2"/>
      <c r="G85" s="2"/>
      <c r="H85" s="2"/>
      <c r="I85" s="4"/>
      <c r="J85" s="2"/>
      <c r="K85" s="2"/>
    </row>
    <row r="86" spans="1:11" ht="29.25" customHeight="1">
      <c r="A86" s="2"/>
      <c r="B86" s="190">
        <v>6</v>
      </c>
      <c r="C86" s="291" t="s">
        <v>131</v>
      </c>
      <c r="D86" s="291"/>
      <c r="E86" s="291"/>
      <c r="F86" s="291"/>
      <c r="G86" s="291"/>
      <c r="H86" s="291"/>
      <c r="I86" s="291"/>
      <c r="J86" s="291"/>
      <c r="K86" s="291"/>
    </row>
    <row r="87" spans="1:11" ht="12.75" customHeight="1">
      <c r="A87" s="2"/>
      <c r="B87" s="64">
        <v>7</v>
      </c>
      <c r="C87" s="22" t="s">
        <v>132</v>
      </c>
      <c r="D87" s="2"/>
      <c r="E87" s="2"/>
      <c r="F87" s="2"/>
      <c r="G87" s="2"/>
      <c r="H87" s="2"/>
      <c r="I87" s="4"/>
      <c r="J87" s="2"/>
      <c r="K87" s="2"/>
    </row>
    <row r="88" spans="1:11" ht="10.5" customHeight="1">
      <c r="A88" s="2"/>
      <c r="B88" s="64"/>
      <c r="C88" s="145"/>
      <c r="D88" s="2"/>
      <c r="E88" s="2"/>
      <c r="F88" s="2"/>
      <c r="G88" s="2"/>
      <c r="H88" s="2"/>
      <c r="I88" s="4"/>
      <c r="J88" s="2"/>
      <c r="K88" s="2"/>
    </row>
    <row r="89" spans="1:11">
      <c r="A89" s="2"/>
      <c r="B89" s="12">
        <v>15</v>
      </c>
      <c r="C89" s="4" t="s">
        <v>133</v>
      </c>
      <c r="D89" s="2"/>
      <c r="E89" s="2"/>
      <c r="F89" s="2"/>
      <c r="G89" s="2"/>
      <c r="H89" s="2"/>
      <c r="I89" s="2"/>
      <c r="J89" s="2"/>
      <c r="K89" s="2"/>
    </row>
    <row r="90" spans="1:11">
      <c r="A90" s="2"/>
      <c r="B90" s="4"/>
      <c r="C90" s="2"/>
      <c r="D90" s="2"/>
      <c r="E90" s="7"/>
      <c r="F90" s="2"/>
      <c r="G90" s="2"/>
      <c r="H90" s="2"/>
      <c r="I90" s="2"/>
      <c r="J90" s="2"/>
      <c r="K90" s="2"/>
    </row>
    <row r="91" spans="1:11">
      <c r="A91" s="2"/>
      <c r="B91" s="23" t="s">
        <v>134</v>
      </c>
      <c r="C91" s="24"/>
      <c r="D91" s="24"/>
      <c r="E91" s="24"/>
      <c r="F91" s="25">
        <v>999</v>
      </c>
      <c r="G91" s="24" t="s">
        <v>135</v>
      </c>
      <c r="H91" s="24"/>
      <c r="I91" s="24"/>
      <c r="J91" s="26">
        <v>1000</v>
      </c>
      <c r="K91" s="2"/>
    </row>
    <row r="92" spans="1:11">
      <c r="A92" s="2"/>
      <c r="B92" s="3" t="s">
        <v>136</v>
      </c>
      <c r="C92" s="2"/>
      <c r="D92" s="2"/>
      <c r="E92" s="7"/>
      <c r="F92" s="27">
        <f>E217</f>
        <v>1.8916666666666666</v>
      </c>
      <c r="G92" s="2" t="s">
        <v>137</v>
      </c>
      <c r="H92" s="2"/>
      <c r="I92" s="2"/>
      <c r="J92" s="5">
        <f>IF(F92&lt;0.5,0,IF(F92&lt;1,5,IF(F92&lt;2,10,IF(F92&lt;3,15,IF(F92&lt;4,25,IF(F92&lt;5,35,IF(F92&lt;10,40,50)))))))</f>
        <v>10</v>
      </c>
      <c r="K92" s="2"/>
    </row>
    <row r="93" spans="1:11">
      <c r="A93" s="2"/>
      <c r="B93" s="23" t="s">
        <v>138</v>
      </c>
      <c r="C93" s="24"/>
      <c r="D93" s="24"/>
      <c r="F93" s="135">
        <v>18</v>
      </c>
      <c r="G93" s="24" t="s">
        <v>139</v>
      </c>
      <c r="H93" s="24"/>
      <c r="I93" s="24"/>
      <c r="J93" s="134">
        <v>18</v>
      </c>
      <c r="K93" s="2"/>
    </row>
    <row r="94" spans="1:11">
      <c r="A94" s="2"/>
      <c r="B94" s="73"/>
      <c r="C94" s="73"/>
      <c r="D94" s="73"/>
      <c r="E94" s="73"/>
      <c r="F94" s="73"/>
      <c r="G94" s="73"/>
      <c r="H94" s="2"/>
      <c r="I94" s="2"/>
      <c r="J94" s="2"/>
      <c r="K94" s="2"/>
    </row>
    <row r="95" spans="1:11">
      <c r="A95" s="2"/>
      <c r="B95" s="7"/>
      <c r="C95" s="7"/>
      <c r="D95" s="7"/>
      <c r="E95" s="7"/>
      <c r="F95" s="7"/>
      <c r="G95" s="7" t="s">
        <v>140</v>
      </c>
      <c r="H95" s="7" t="s">
        <v>140</v>
      </c>
      <c r="I95" s="7" t="s">
        <v>140</v>
      </c>
      <c r="J95" s="2"/>
      <c r="K95" s="2"/>
    </row>
    <row r="96" spans="1:11">
      <c r="A96" s="2"/>
      <c r="B96" s="139" t="s">
        <v>141</v>
      </c>
      <c r="C96" s="28" t="s">
        <v>142</v>
      </c>
      <c r="D96" s="7"/>
      <c r="E96" s="8"/>
      <c r="F96" s="52" t="s">
        <v>143</v>
      </c>
      <c r="G96" s="52" t="s">
        <v>144</v>
      </c>
      <c r="H96" s="52" t="s">
        <v>145</v>
      </c>
      <c r="I96" s="250" t="s">
        <v>146</v>
      </c>
      <c r="J96" s="9"/>
      <c r="K96" s="2"/>
    </row>
    <row r="97" spans="1:13">
      <c r="A97" s="2"/>
      <c r="B97" s="119">
        <v>1</v>
      </c>
      <c r="C97" s="2" t="s">
        <v>147</v>
      </c>
      <c r="D97" s="2"/>
      <c r="E97" s="5"/>
      <c r="F97" s="30">
        <v>284.75</v>
      </c>
      <c r="G97" s="30" t="s">
        <v>148</v>
      </c>
      <c r="H97" s="30"/>
      <c r="I97" s="30"/>
      <c r="J97" s="278"/>
      <c r="K97" s="278"/>
    </row>
    <row r="98" spans="1:13">
      <c r="A98" s="2"/>
      <c r="B98" s="89">
        <v>2</v>
      </c>
      <c r="C98" s="2" t="s">
        <v>149</v>
      </c>
      <c r="D98" s="2"/>
      <c r="E98" s="5"/>
      <c r="F98" s="30">
        <v>780.51</v>
      </c>
      <c r="G98" s="30" t="s">
        <v>148</v>
      </c>
      <c r="H98" s="30"/>
      <c r="I98" s="30"/>
      <c r="J98" s="278"/>
      <c r="K98" s="278"/>
    </row>
    <row r="99" spans="1:13">
      <c r="A99" s="2"/>
      <c r="B99" s="89">
        <v>3</v>
      </c>
      <c r="C99" s="2" t="s">
        <v>150</v>
      </c>
      <c r="D99" s="2"/>
      <c r="E99" s="5"/>
      <c r="F99" s="30">
        <v>1989.83</v>
      </c>
      <c r="G99" s="30">
        <v>1989</v>
      </c>
      <c r="H99" s="30">
        <v>1989.83</v>
      </c>
      <c r="I99" s="30"/>
      <c r="J99" s="278"/>
      <c r="K99" s="278"/>
    </row>
    <row r="100" spans="1:13">
      <c r="A100" s="2"/>
      <c r="B100" s="89">
        <v>4</v>
      </c>
      <c r="C100" s="2" t="s">
        <v>150</v>
      </c>
      <c r="D100" s="2"/>
      <c r="E100" s="5"/>
      <c r="F100" s="30">
        <v>1740.68</v>
      </c>
      <c r="G100" s="30"/>
      <c r="H100" s="30">
        <v>1740.68</v>
      </c>
      <c r="I100" s="30"/>
      <c r="J100" s="278"/>
      <c r="K100" s="278"/>
    </row>
    <row r="101" spans="1:13">
      <c r="A101" s="2"/>
      <c r="B101" s="89">
        <v>5</v>
      </c>
      <c r="C101" s="2" t="s">
        <v>151</v>
      </c>
      <c r="D101" s="2"/>
      <c r="E101" s="5"/>
      <c r="F101" s="30">
        <v>1567.8</v>
      </c>
      <c r="G101" s="30" t="s">
        <v>148</v>
      </c>
      <c r="H101" s="30"/>
      <c r="I101" s="30"/>
      <c r="J101" s="278"/>
      <c r="K101" s="278"/>
    </row>
    <row r="102" spans="1:13">
      <c r="A102" s="2"/>
      <c r="B102" s="89">
        <v>6</v>
      </c>
      <c r="C102" s="2" t="s">
        <v>152</v>
      </c>
      <c r="D102" s="2"/>
      <c r="E102" s="5"/>
      <c r="F102" s="30">
        <v>186.44</v>
      </c>
      <c r="G102" s="30"/>
      <c r="H102" s="30">
        <v>186.44</v>
      </c>
      <c r="I102" s="30">
        <v>186</v>
      </c>
      <c r="J102" s="278"/>
      <c r="K102" s="278"/>
    </row>
    <row r="103" spans="1:13">
      <c r="A103" s="2"/>
      <c r="B103" s="89">
        <v>7</v>
      </c>
      <c r="C103" s="2" t="s">
        <v>152</v>
      </c>
      <c r="D103" s="2"/>
      <c r="E103" s="5"/>
      <c r="F103" s="30">
        <v>186.44</v>
      </c>
      <c r="G103" s="30" t="s">
        <v>148</v>
      </c>
      <c r="H103" s="30"/>
      <c r="I103" s="30"/>
      <c r="J103" s="278"/>
      <c r="K103" s="278"/>
    </row>
    <row r="104" spans="1:13">
      <c r="A104" s="2"/>
      <c r="B104" s="89">
        <v>8</v>
      </c>
      <c r="C104" s="2" t="s">
        <v>152</v>
      </c>
      <c r="D104" s="2"/>
      <c r="E104" s="5"/>
      <c r="F104" s="30">
        <v>509.32</v>
      </c>
      <c r="G104" s="30" t="s">
        <v>148</v>
      </c>
      <c r="H104" s="30"/>
      <c r="I104" s="30"/>
      <c r="J104" s="278"/>
      <c r="K104" s="278"/>
    </row>
    <row r="105" spans="1:13">
      <c r="A105" s="2"/>
      <c r="B105" s="89">
        <v>9</v>
      </c>
      <c r="C105" s="2" t="s">
        <v>152</v>
      </c>
      <c r="D105" s="2"/>
      <c r="E105" s="5"/>
      <c r="F105" s="30">
        <v>509.32</v>
      </c>
      <c r="G105" s="30" t="s">
        <v>148</v>
      </c>
      <c r="H105" s="30"/>
      <c r="I105" s="30"/>
      <c r="J105" s="278"/>
      <c r="K105" s="278"/>
    </row>
    <row r="106" spans="1:13">
      <c r="A106" s="2"/>
      <c r="B106" s="89">
        <v>10</v>
      </c>
      <c r="C106" s="2" t="s">
        <v>153</v>
      </c>
      <c r="D106" s="2"/>
      <c r="E106" s="5"/>
      <c r="F106" s="30">
        <v>577.12</v>
      </c>
      <c r="G106" s="30"/>
      <c r="H106" s="30">
        <v>577.12</v>
      </c>
      <c r="I106" s="30"/>
      <c r="J106" s="278"/>
      <c r="K106" s="278"/>
    </row>
    <row r="107" spans="1:13">
      <c r="A107" s="2"/>
      <c r="B107" s="89">
        <v>11</v>
      </c>
      <c r="C107" s="2" t="s">
        <v>154</v>
      </c>
      <c r="D107" s="2"/>
      <c r="E107" s="5"/>
      <c r="F107" s="30">
        <v>411.02</v>
      </c>
      <c r="G107" s="30"/>
      <c r="H107" s="30">
        <v>411.02</v>
      </c>
      <c r="I107" s="30"/>
      <c r="J107" s="278"/>
      <c r="K107" s="278"/>
    </row>
    <row r="108" spans="1:13">
      <c r="A108" s="2"/>
      <c r="B108" s="89">
        <v>12</v>
      </c>
      <c r="C108" s="2" t="s">
        <v>155</v>
      </c>
      <c r="D108" s="2"/>
      <c r="E108" s="5"/>
      <c r="F108" s="30">
        <v>74.58</v>
      </c>
      <c r="G108" s="30" t="s">
        <v>148</v>
      </c>
      <c r="H108" s="30"/>
      <c r="I108" s="30"/>
      <c r="J108" s="278"/>
      <c r="K108" s="278"/>
    </row>
    <row r="109" spans="1:13">
      <c r="A109" s="2"/>
      <c r="B109" s="89">
        <v>13</v>
      </c>
      <c r="C109" s="2" t="s">
        <v>156</v>
      </c>
      <c r="D109" s="2"/>
      <c r="E109" s="5"/>
      <c r="F109" s="30">
        <v>885.59</v>
      </c>
      <c r="G109" s="30" t="s">
        <v>148</v>
      </c>
      <c r="H109" s="30"/>
      <c r="I109" s="30"/>
      <c r="J109" s="278"/>
      <c r="K109" s="278"/>
    </row>
    <row r="110" spans="1:13">
      <c r="A110" s="2"/>
      <c r="B110" s="120">
        <v>14</v>
      </c>
      <c r="C110" s="7" t="s">
        <v>157</v>
      </c>
      <c r="D110" s="51"/>
      <c r="E110" s="101"/>
      <c r="F110" s="31">
        <v>5.08</v>
      </c>
      <c r="G110" s="31" t="s">
        <v>148</v>
      </c>
      <c r="H110" s="35"/>
      <c r="I110" s="249"/>
      <c r="J110" s="252"/>
      <c r="K110" s="279"/>
    </row>
    <row r="111" spans="1:13">
      <c r="A111" s="2"/>
      <c r="B111" s="3" t="s">
        <v>158</v>
      </c>
      <c r="C111" s="2"/>
      <c r="D111" s="2"/>
      <c r="E111" s="5"/>
      <c r="F111" s="30">
        <f>SUM(F97:F110)</f>
        <v>9708.48</v>
      </c>
      <c r="G111" s="259">
        <f>SUM(G97:G110)</f>
        <v>1989</v>
      </c>
      <c r="H111" s="263">
        <f>SUM(H97:H110)</f>
        <v>4905.09</v>
      </c>
      <c r="I111" s="263">
        <f>SUM(I97:I110)</f>
        <v>186</v>
      </c>
      <c r="J111" s="264">
        <v>7080</v>
      </c>
      <c r="K111" s="2"/>
      <c r="M111" s="143"/>
    </row>
    <row r="112" spans="1:13">
      <c r="A112" s="5"/>
      <c r="B112" s="136">
        <v>18</v>
      </c>
      <c r="C112" s="7" t="s">
        <v>159</v>
      </c>
      <c r="D112" s="7"/>
      <c r="E112" s="8"/>
      <c r="F112" s="35">
        <f>B112*F111/100</f>
        <v>1747.5263999999997</v>
      </c>
      <c r="G112" s="53">
        <f>B112*G111/100</f>
        <v>358.02</v>
      </c>
      <c r="H112" s="35">
        <f>B112*H111/100</f>
        <v>882.9162</v>
      </c>
      <c r="I112" s="35">
        <f>18*I111/100</f>
        <v>33.479999999999997</v>
      </c>
      <c r="J112" s="36"/>
      <c r="K112" s="2"/>
      <c r="M112" s="143"/>
    </row>
    <row r="113" spans="1:13" ht="12" customHeight="1">
      <c r="A113" s="2"/>
      <c r="B113" s="3" t="s">
        <v>158</v>
      </c>
      <c r="C113" s="2"/>
      <c r="D113" s="2"/>
      <c r="F113" s="259">
        <f>SUM(F111:F112)</f>
        <v>11456.006399999998</v>
      </c>
      <c r="G113" s="37">
        <f>SUM(G111:G112)</f>
        <v>2347.02</v>
      </c>
      <c r="H113" s="37">
        <f>SUM(H111:H112)</f>
        <v>5788.0061999999998</v>
      </c>
      <c r="I113" s="29">
        <f>SUM(I111:I112)</f>
        <v>219.48</v>
      </c>
      <c r="J113" s="36"/>
      <c r="K113" s="2"/>
      <c r="L113" s="260" t="s">
        <v>160</v>
      </c>
      <c r="M113" s="260"/>
    </row>
    <row r="114" spans="1:13" ht="12" customHeight="1">
      <c r="A114" s="2"/>
      <c r="B114" s="16" t="s">
        <v>161</v>
      </c>
      <c r="C114" s="2"/>
      <c r="D114" s="2"/>
      <c r="F114" s="37"/>
      <c r="G114" s="37"/>
      <c r="H114" s="37"/>
      <c r="I114" s="29"/>
      <c r="J114" s="2"/>
      <c r="K114" s="2"/>
    </row>
    <row r="115" spans="1:13">
      <c r="A115" s="2"/>
      <c r="B115" s="6">
        <v>0</v>
      </c>
      <c r="C115" s="7" t="s">
        <v>162</v>
      </c>
      <c r="D115" s="7"/>
      <c r="E115" s="8"/>
      <c r="F115" s="34"/>
      <c r="G115" s="34">
        <v>0</v>
      </c>
      <c r="H115" s="34">
        <v>0</v>
      </c>
      <c r="I115" s="29">
        <v>0</v>
      </c>
      <c r="J115" s="36"/>
      <c r="K115" s="2"/>
      <c r="M115" s="260"/>
    </row>
    <row r="116" spans="1:13" ht="13.5" thickBot="1">
      <c r="A116" s="2"/>
      <c r="B116" s="23" t="s">
        <v>163</v>
      </c>
      <c r="C116" s="24"/>
      <c r="D116" s="24"/>
      <c r="E116" s="26"/>
      <c r="F116" s="38">
        <f>F113</f>
        <v>11456.006399999998</v>
      </c>
      <c r="G116" s="39">
        <f>G113-G115</f>
        <v>2347.02</v>
      </c>
      <c r="H116" s="38">
        <f>H113-H115</f>
        <v>5788.0061999999998</v>
      </c>
      <c r="I116" s="39">
        <f>I113-I115</f>
        <v>219.48</v>
      </c>
      <c r="J116" s="36"/>
      <c r="K116" s="2"/>
    </row>
    <row r="117" spans="1:13" ht="13.5" thickBot="1">
      <c r="A117" s="2"/>
      <c r="B117" s="28" t="s">
        <v>164</v>
      </c>
      <c r="C117" s="7"/>
      <c r="D117" s="24"/>
      <c r="E117" s="40"/>
      <c r="F117" s="41">
        <f>F116</f>
        <v>11456.006399999998</v>
      </c>
      <c r="G117" s="42">
        <f>G116+H116+I116</f>
        <v>8354.5061999999998</v>
      </c>
      <c r="H117" s="43"/>
      <c r="I117" s="26"/>
      <c r="J117" s="2"/>
      <c r="K117" s="2"/>
    </row>
    <row r="118" spans="1:13">
      <c r="A118" s="2"/>
      <c r="B118" s="4"/>
      <c r="C118" s="2"/>
      <c r="D118" s="2"/>
      <c r="E118" s="2"/>
      <c r="F118" s="76"/>
      <c r="G118" s="76"/>
      <c r="H118" s="2"/>
      <c r="I118" s="2"/>
      <c r="J118" s="2"/>
      <c r="K118" s="2"/>
    </row>
    <row r="119" spans="1:13">
      <c r="A119" s="2"/>
      <c r="B119" s="4" t="s">
        <v>165</v>
      </c>
      <c r="C119" s="2"/>
      <c r="D119" s="2"/>
      <c r="E119" s="2"/>
      <c r="F119" s="2"/>
      <c r="G119" s="61">
        <f>G115+H115+J115+I115</f>
        <v>0</v>
      </c>
      <c r="H119" s="2"/>
      <c r="I119" s="2"/>
      <c r="J119" s="2"/>
      <c r="K119" s="2"/>
    </row>
    <row r="120" spans="1:13">
      <c r="A120" s="2"/>
      <c r="B120" s="2"/>
      <c r="C120" s="2"/>
      <c r="E120" s="2"/>
      <c r="F120" s="2"/>
      <c r="G120" s="2"/>
      <c r="H120" s="2"/>
      <c r="I120" s="22"/>
      <c r="J120" s="14"/>
    </row>
    <row r="121" spans="1:13" ht="12.75" customHeight="1">
      <c r="A121" s="2"/>
      <c r="B121" s="11" t="s">
        <v>166</v>
      </c>
      <c r="C121" s="2"/>
      <c r="D121" s="2"/>
      <c r="E121" s="2"/>
      <c r="F121" s="2"/>
      <c r="G121" s="61"/>
      <c r="H121" s="2"/>
      <c r="I121" s="2"/>
      <c r="J121" s="2"/>
    </row>
    <row r="122" spans="1:13">
      <c r="A122" s="2"/>
      <c r="B122" s="2"/>
      <c r="C122" s="2"/>
      <c r="D122" s="2"/>
      <c r="E122" s="2"/>
      <c r="F122" s="2"/>
      <c r="G122" s="61"/>
      <c r="H122" s="2"/>
      <c r="I122" s="2"/>
      <c r="J122" s="2"/>
    </row>
    <row r="123" spans="1:13" ht="12.75" customHeight="1">
      <c r="A123" s="2"/>
      <c r="B123" s="82" t="s">
        <v>167</v>
      </c>
      <c r="C123" s="24"/>
      <c r="D123" s="24"/>
      <c r="E123" s="24"/>
      <c r="F123" s="24"/>
      <c r="G123" s="83"/>
      <c r="H123" s="24"/>
      <c r="I123" s="47">
        <v>59999.94</v>
      </c>
      <c r="J123" s="2"/>
    </row>
    <row r="124" spans="1:13" ht="12.75" customHeight="1">
      <c r="A124" s="2"/>
      <c r="B124" s="84" t="s">
        <v>141</v>
      </c>
      <c r="C124" s="85" t="s">
        <v>168</v>
      </c>
      <c r="D124" s="24"/>
      <c r="E124" s="26"/>
      <c r="F124" s="276" t="s">
        <v>169</v>
      </c>
      <c r="G124" s="86" t="s">
        <v>170</v>
      </c>
      <c r="H124" s="87" t="s">
        <v>171</v>
      </c>
      <c r="I124" s="88" t="s">
        <v>172</v>
      </c>
      <c r="J124" s="2"/>
    </row>
    <row r="125" spans="1:13" ht="12.75" customHeight="1">
      <c r="A125" s="2"/>
      <c r="B125" s="89">
        <v>1</v>
      </c>
      <c r="C125" s="2" t="s">
        <v>173</v>
      </c>
      <c r="D125" s="2"/>
      <c r="E125" s="2"/>
      <c r="F125" s="92">
        <v>850</v>
      </c>
      <c r="G125" s="90"/>
      <c r="H125" s="91"/>
      <c r="I125" s="92">
        <v>5735</v>
      </c>
      <c r="J125" s="58"/>
    </row>
    <row r="126" spans="1:13" ht="12.75" customHeight="1">
      <c r="A126" s="2"/>
      <c r="B126" s="89">
        <v>2</v>
      </c>
      <c r="C126" s="2" t="s">
        <v>174</v>
      </c>
      <c r="D126" s="2"/>
      <c r="E126" s="2"/>
      <c r="F126" s="253"/>
      <c r="G126" s="90">
        <v>500</v>
      </c>
      <c r="H126" s="91"/>
      <c r="I126" s="253">
        <v>5945</v>
      </c>
      <c r="J126" s="58"/>
    </row>
    <row r="127" spans="1:13" ht="12.75" customHeight="1">
      <c r="A127" s="2"/>
      <c r="B127" s="89">
        <v>3</v>
      </c>
      <c r="C127" s="2" t="s">
        <v>175</v>
      </c>
      <c r="D127" s="2"/>
      <c r="E127" s="2"/>
      <c r="F127" s="103">
        <v>140</v>
      </c>
      <c r="G127" s="90"/>
      <c r="H127" s="91"/>
      <c r="I127" s="103"/>
      <c r="J127" s="58"/>
    </row>
    <row r="128" spans="1:13" ht="12.75" customHeight="1">
      <c r="A128" s="2"/>
      <c r="B128" s="97" t="s">
        <v>158</v>
      </c>
      <c r="C128" s="73"/>
      <c r="D128" s="73"/>
      <c r="E128" s="73"/>
      <c r="F128" s="29">
        <f>SUM(F125:F127)</f>
        <v>990</v>
      </c>
      <c r="G128" s="78">
        <f>SUM(G125:G127)</f>
        <v>500</v>
      </c>
      <c r="H128" s="80">
        <f>SUM(H125:H127)</f>
        <v>0</v>
      </c>
      <c r="I128" s="30">
        <f>SUM(I125:I127)</f>
        <v>11680</v>
      </c>
      <c r="J128" s="2"/>
    </row>
    <row r="129" spans="1:12" ht="12.75" customHeight="1">
      <c r="A129" s="2"/>
      <c r="B129" s="6"/>
      <c r="C129" s="7"/>
      <c r="D129" s="7"/>
      <c r="E129" s="7"/>
      <c r="F129" s="35"/>
      <c r="G129" s="32"/>
      <c r="H129" s="35"/>
      <c r="I129" s="31">
        <v>0</v>
      </c>
      <c r="J129" s="2"/>
    </row>
    <row r="130" spans="1:12" ht="12.75" customHeight="1" thickBot="1">
      <c r="A130" s="5"/>
      <c r="B130" s="82" t="s">
        <v>158</v>
      </c>
      <c r="C130" s="24"/>
      <c r="D130" s="24"/>
      <c r="E130" s="24"/>
      <c r="F130" s="39">
        <f>F128</f>
        <v>990</v>
      </c>
      <c r="G130" s="72">
        <f>G128</f>
        <v>500</v>
      </c>
      <c r="H130" s="80">
        <f>H128</f>
        <v>0</v>
      </c>
      <c r="I130" s="33">
        <f>I128-I129</f>
        <v>11680</v>
      </c>
      <c r="J130" s="2"/>
    </row>
    <row r="131" spans="1:12" ht="12.75" customHeight="1" thickBot="1">
      <c r="A131" s="2"/>
      <c r="B131" s="28"/>
      <c r="C131" s="7"/>
      <c r="D131" s="51" t="s">
        <v>176</v>
      </c>
      <c r="E131" s="7"/>
      <c r="F131" s="32"/>
      <c r="G131" s="32"/>
      <c r="H131" s="266">
        <f>F130+G130+H130+I130</f>
        <v>13170</v>
      </c>
      <c r="I131" s="267"/>
      <c r="J131" s="256" t="s">
        <v>177</v>
      </c>
      <c r="K131" s="260"/>
    </row>
    <row r="132" spans="1:12">
      <c r="A132" s="2"/>
      <c r="B132" s="94"/>
      <c r="C132" s="73"/>
      <c r="D132" s="73"/>
      <c r="E132" s="73"/>
      <c r="F132" s="78"/>
      <c r="G132" s="78"/>
      <c r="H132" s="36"/>
      <c r="I132" s="36"/>
      <c r="J132" s="2"/>
      <c r="L132" s="260"/>
    </row>
    <row r="133" spans="1:12" ht="12.75" customHeight="1">
      <c r="A133" s="2"/>
      <c r="B133" s="82" t="s">
        <v>178</v>
      </c>
      <c r="C133" s="24"/>
      <c r="D133" s="24"/>
      <c r="E133" s="24"/>
      <c r="F133" s="93"/>
      <c r="G133" s="93"/>
      <c r="H133" s="95" t="s">
        <v>143</v>
      </c>
      <c r="I133" s="95" t="s">
        <v>179</v>
      </c>
      <c r="J133" s="265"/>
    </row>
    <row r="134" spans="1:12" ht="12.75" customHeight="1">
      <c r="A134" s="2"/>
      <c r="B134" s="16"/>
      <c r="C134" s="2"/>
      <c r="D134" s="2"/>
      <c r="E134" s="2"/>
      <c r="F134" s="36"/>
      <c r="G134" s="36"/>
      <c r="H134" s="29">
        <f>I123</f>
        <v>59999.94</v>
      </c>
      <c r="I134" s="29">
        <f>H131</f>
        <v>13170</v>
      </c>
      <c r="J134" s="2"/>
    </row>
    <row r="135" spans="1:12" ht="12.75" customHeight="1" thickBot="1">
      <c r="A135" s="2"/>
      <c r="B135" s="137">
        <f>J93</f>
        <v>18</v>
      </c>
      <c r="C135" s="7" t="s">
        <v>159</v>
      </c>
      <c r="D135" s="2"/>
      <c r="E135" s="2"/>
      <c r="F135" s="36"/>
      <c r="G135" s="36"/>
      <c r="H135" s="29">
        <f>B135*H134/100</f>
        <v>10799.9892</v>
      </c>
      <c r="I135" s="29">
        <f>B135*I134/100</f>
        <v>2370.6</v>
      </c>
      <c r="J135" s="2"/>
    </row>
    <row r="136" spans="1:12" ht="12.75" customHeight="1" thickBot="1">
      <c r="A136" s="2"/>
      <c r="B136" s="82" t="s">
        <v>180</v>
      </c>
      <c r="C136" s="24"/>
      <c r="D136" s="24"/>
      <c r="E136" s="24"/>
      <c r="F136" s="96"/>
      <c r="G136" s="96"/>
      <c r="H136" s="44">
        <f>H134+H135</f>
        <v>70799.929199999999</v>
      </c>
      <c r="I136" s="42">
        <f>I134+I135</f>
        <v>15540.6</v>
      </c>
      <c r="J136" s="2"/>
    </row>
    <row r="137" spans="1:12">
      <c r="A137" s="2"/>
      <c r="B137" s="2"/>
      <c r="C137" s="2"/>
      <c r="D137" s="2"/>
      <c r="E137" s="2"/>
      <c r="F137" s="2"/>
      <c r="G137" s="2"/>
      <c r="H137" s="2"/>
      <c r="I137" s="2"/>
      <c r="J137" s="2"/>
    </row>
    <row r="138" spans="1:12" ht="12.75" customHeight="1">
      <c r="A138" s="2"/>
      <c r="B138" s="4" t="s">
        <v>181</v>
      </c>
      <c r="C138" s="2"/>
      <c r="D138" s="2"/>
      <c r="E138" s="2"/>
      <c r="F138" s="2"/>
      <c r="G138" s="76">
        <f>I136</f>
        <v>15540.6</v>
      </c>
      <c r="H138" s="2"/>
      <c r="I138" s="2"/>
      <c r="J138" s="2"/>
    </row>
    <row r="139" spans="1:12">
      <c r="A139" s="2"/>
      <c r="B139" s="7"/>
      <c r="C139" s="7"/>
      <c r="D139" s="7"/>
      <c r="E139" s="7"/>
      <c r="F139" s="7"/>
      <c r="G139" s="7"/>
      <c r="H139" s="2"/>
      <c r="I139" s="2"/>
      <c r="J139" s="2"/>
      <c r="K139" s="2"/>
    </row>
    <row r="140" spans="1:12">
      <c r="A140" s="2"/>
      <c r="B140" s="28" t="s">
        <v>182</v>
      </c>
      <c r="C140" s="7"/>
      <c r="D140" s="7"/>
      <c r="E140" s="8"/>
      <c r="F140" s="52" t="s">
        <v>143</v>
      </c>
      <c r="G140" s="52" t="s">
        <v>179</v>
      </c>
      <c r="H140" s="2"/>
      <c r="I140" s="2"/>
      <c r="J140" s="2"/>
      <c r="K140" s="2"/>
    </row>
    <row r="141" spans="1:12">
      <c r="A141" s="2"/>
      <c r="B141" s="79" t="s">
        <v>183</v>
      </c>
      <c r="C141" s="73"/>
      <c r="D141" s="73"/>
      <c r="E141" s="73"/>
      <c r="F141" s="80">
        <f>F117</f>
        <v>11456.006399999998</v>
      </c>
      <c r="G141" s="33">
        <f>G117</f>
        <v>8354.5061999999998</v>
      </c>
      <c r="H141" s="2"/>
      <c r="I141" s="2"/>
      <c r="J141" s="2"/>
      <c r="K141" s="2"/>
    </row>
    <row r="142" spans="1:12">
      <c r="A142" s="2"/>
      <c r="B142" s="6" t="s">
        <v>184</v>
      </c>
      <c r="C142" s="7"/>
      <c r="D142" s="7"/>
      <c r="E142" s="7"/>
      <c r="F142" s="35">
        <f>H136</f>
        <v>70799.929199999999</v>
      </c>
      <c r="G142" s="31">
        <f>G138</f>
        <v>15540.6</v>
      </c>
      <c r="H142" s="2"/>
      <c r="I142" s="2"/>
      <c r="J142" s="2"/>
      <c r="K142" s="2"/>
    </row>
    <row r="143" spans="1:12">
      <c r="A143" s="2"/>
      <c r="B143" s="3" t="s">
        <v>158</v>
      </c>
      <c r="C143" s="2"/>
      <c r="D143" s="2"/>
      <c r="E143" s="5"/>
      <c r="F143" s="30">
        <f>F141+F142</f>
        <v>82255.935599999997</v>
      </c>
      <c r="G143" s="30">
        <f>G141+G142</f>
        <v>23895.106200000002</v>
      </c>
      <c r="H143" s="2"/>
      <c r="I143" s="2"/>
      <c r="J143" s="2"/>
      <c r="K143" s="2"/>
    </row>
    <row r="144" spans="1:12">
      <c r="A144" s="2" t="s">
        <v>185</v>
      </c>
      <c r="B144" s="268" t="s">
        <v>186</v>
      </c>
      <c r="C144" s="256"/>
      <c r="D144" s="256"/>
      <c r="E144" s="269"/>
      <c r="F144" s="270"/>
      <c r="G144" s="270">
        <v>800</v>
      </c>
      <c r="H144" s="2"/>
      <c r="I144" s="2"/>
      <c r="J144" s="2"/>
      <c r="K144" s="2"/>
    </row>
    <row r="145" spans="1:12" ht="13.5" thickBot="1">
      <c r="A145" s="2"/>
      <c r="B145" s="271" t="s">
        <v>187</v>
      </c>
      <c r="C145" s="272"/>
      <c r="D145" s="272"/>
      <c r="E145" s="273"/>
      <c r="F145" s="269"/>
      <c r="G145" s="270">
        <f>J91</f>
        <v>1000</v>
      </c>
      <c r="H145" s="2"/>
      <c r="I145" s="2"/>
      <c r="J145" s="2"/>
      <c r="K145" s="2"/>
    </row>
    <row r="146" spans="1:12" ht="12" customHeight="1" thickBot="1">
      <c r="A146" s="2"/>
      <c r="B146" s="28" t="s">
        <v>188</v>
      </c>
      <c r="C146" s="7"/>
      <c r="D146" s="24"/>
      <c r="E146" s="40"/>
      <c r="F146" s="44">
        <f>F143</f>
        <v>82255.935599999997</v>
      </c>
      <c r="G146" s="45">
        <f>G143-G145</f>
        <v>22895.106200000002</v>
      </c>
      <c r="H146" s="2"/>
      <c r="I146" s="2"/>
      <c r="J146" s="2"/>
      <c r="K146" s="2"/>
    </row>
    <row r="147" spans="1:12" ht="9.75" customHeight="1">
      <c r="A147" s="2"/>
      <c r="B147" s="2"/>
      <c r="C147" s="2"/>
      <c r="D147" s="2"/>
      <c r="E147" s="2"/>
      <c r="F147" s="2"/>
      <c r="G147" s="2"/>
      <c r="H147" s="2"/>
      <c r="I147" s="2"/>
      <c r="J147" s="2"/>
      <c r="K147" s="2"/>
    </row>
    <row r="148" spans="1:12" ht="12.75" customHeight="1">
      <c r="A148" s="2"/>
      <c r="B148" s="256" t="s">
        <v>189</v>
      </c>
      <c r="C148" s="256"/>
      <c r="D148" s="256"/>
      <c r="E148" s="256"/>
      <c r="F148" s="256"/>
      <c r="G148" s="264">
        <v>100</v>
      </c>
      <c r="H148" s="2"/>
      <c r="I148" s="2"/>
      <c r="J148" s="2"/>
      <c r="K148" s="2"/>
    </row>
    <row r="149" spans="1:12">
      <c r="A149" s="2"/>
      <c r="B149" s="46" t="s">
        <v>190</v>
      </c>
      <c r="C149" s="24"/>
      <c r="D149" s="24"/>
      <c r="E149" s="24"/>
      <c r="F149" s="24"/>
      <c r="G149" s="47">
        <f>G146-G148</f>
        <v>22795.106200000002</v>
      </c>
      <c r="H149" s="2"/>
      <c r="I149" s="36"/>
      <c r="J149" s="2"/>
      <c r="K149" s="36"/>
    </row>
    <row r="150" spans="1:12">
      <c r="A150" s="21"/>
      <c r="B150" s="21"/>
      <c r="C150" s="21"/>
      <c r="D150" s="21"/>
      <c r="E150" s="21"/>
      <c r="F150" s="21"/>
      <c r="G150" s="21"/>
      <c r="H150" s="21"/>
      <c r="I150" s="21"/>
      <c r="J150" s="21"/>
      <c r="K150" s="2"/>
    </row>
    <row r="151" spans="1:12" ht="53.25" customHeight="1">
      <c r="A151" s="21"/>
      <c r="B151" s="280" t="s">
        <v>191</v>
      </c>
      <c r="C151" s="280"/>
      <c r="D151" s="280"/>
      <c r="E151" s="280"/>
      <c r="F151" s="280"/>
      <c r="G151" s="280"/>
      <c r="H151" s="280"/>
      <c r="I151" s="280"/>
      <c r="J151" s="280"/>
      <c r="K151" s="280"/>
    </row>
    <row r="152" spans="1:12" ht="9.75" customHeight="1">
      <c r="A152" s="21"/>
      <c r="B152" s="275"/>
      <c r="C152" s="275"/>
      <c r="D152" s="275"/>
      <c r="E152" s="275"/>
      <c r="F152" s="275"/>
      <c r="G152" s="275"/>
      <c r="H152" s="275"/>
      <c r="I152" s="275"/>
      <c r="J152" s="275"/>
      <c r="K152" s="275"/>
      <c r="L152" s="275"/>
    </row>
    <row r="153" spans="1:12">
      <c r="A153" s="2"/>
      <c r="B153" s="66" t="s">
        <v>192</v>
      </c>
      <c r="C153" s="2"/>
      <c r="D153" s="2"/>
      <c r="E153" s="2"/>
      <c r="F153" s="2"/>
      <c r="G153" s="2"/>
      <c r="H153" s="2"/>
      <c r="I153" s="2"/>
      <c r="J153" s="2"/>
      <c r="K153" s="2"/>
    </row>
    <row r="154" spans="1:12">
      <c r="A154" s="2"/>
      <c r="B154" s="4"/>
      <c r="C154" s="2"/>
      <c r="D154" s="2"/>
      <c r="E154" s="2"/>
      <c r="F154" s="2"/>
      <c r="G154" s="2"/>
      <c r="H154" s="2"/>
      <c r="I154" s="2"/>
      <c r="J154" s="2"/>
      <c r="K154" s="2"/>
    </row>
    <row r="155" spans="1:12">
      <c r="A155" s="2"/>
      <c r="B155" s="279">
        <v>1</v>
      </c>
      <c r="C155" s="2" t="s">
        <v>193</v>
      </c>
      <c r="D155" s="2"/>
      <c r="E155" s="4" t="s">
        <v>15</v>
      </c>
      <c r="F155" s="279" t="str">
        <f>G29</f>
        <v>033264</v>
      </c>
      <c r="G155" s="2"/>
    </row>
    <row r="156" spans="1:12">
      <c r="A156" s="2"/>
      <c r="B156" s="279"/>
      <c r="C156" s="2"/>
      <c r="D156" s="2"/>
      <c r="E156" s="4"/>
      <c r="F156" s="279"/>
      <c r="G156" s="2"/>
    </row>
    <row r="157" spans="1:12">
      <c r="A157" s="2"/>
      <c r="B157" s="279">
        <v>2</v>
      </c>
      <c r="C157" s="2" t="s">
        <v>194</v>
      </c>
      <c r="D157" s="2"/>
      <c r="E157" s="4" t="s">
        <v>15</v>
      </c>
      <c r="F157" s="279">
        <f>G30</f>
        <v>172413</v>
      </c>
      <c r="G157" s="2"/>
    </row>
    <row r="158" spans="1:12">
      <c r="A158" s="2"/>
      <c r="B158" s="4"/>
      <c r="H158" s="2"/>
      <c r="I158" s="2"/>
      <c r="J158" s="4" t="s">
        <v>195</v>
      </c>
      <c r="K158" s="2"/>
    </row>
    <row r="159" spans="1:12" ht="12.75" customHeight="1">
      <c r="A159" s="2"/>
      <c r="C159" s="310" t="s">
        <v>196</v>
      </c>
      <c r="D159" s="98"/>
      <c r="E159" s="98"/>
      <c r="F159" s="262"/>
      <c r="G159" s="99"/>
      <c r="J159" s="2"/>
      <c r="K159" s="2"/>
    </row>
    <row r="160" spans="1:12" ht="12.75" customHeight="1">
      <c r="A160" s="2"/>
      <c r="C160" s="254"/>
      <c r="D160" s="14"/>
      <c r="E160" s="14"/>
      <c r="F160" s="14"/>
      <c r="G160" s="255"/>
      <c r="J160" s="2"/>
      <c r="K160" s="2"/>
    </row>
    <row r="161" spans="1:11" ht="14.25">
      <c r="A161" s="2"/>
      <c r="B161" s="4"/>
      <c r="C161" s="100" t="s">
        <v>197</v>
      </c>
      <c r="D161" s="54"/>
      <c r="E161" s="54"/>
      <c r="F161" s="54"/>
      <c r="G161" s="63"/>
      <c r="H161" s="2"/>
      <c r="I161" s="2"/>
      <c r="J161" s="2"/>
      <c r="K161" s="2"/>
    </row>
    <row r="162" spans="1:11">
      <c r="A162" s="2"/>
      <c r="B162" s="4"/>
      <c r="C162" s="2"/>
      <c r="D162" s="2"/>
      <c r="E162" s="2"/>
      <c r="F162" s="2"/>
      <c r="G162" s="2"/>
      <c r="H162" s="2"/>
      <c r="I162" s="2"/>
      <c r="J162" s="2"/>
      <c r="K162" s="2"/>
    </row>
    <row r="163" spans="1:11">
      <c r="A163" s="2"/>
      <c r="B163" s="4"/>
      <c r="C163" s="2"/>
      <c r="D163" s="2"/>
      <c r="E163" s="2"/>
      <c r="F163" s="2"/>
      <c r="G163" s="2"/>
      <c r="H163" s="2"/>
      <c r="I163" s="2"/>
      <c r="J163" s="2"/>
      <c r="K163" s="2"/>
    </row>
    <row r="164" spans="1:11">
      <c r="A164" s="2"/>
    </row>
    <row r="165" spans="1:11" ht="29.25" customHeight="1">
      <c r="A165" s="2"/>
    </row>
    <row r="166" spans="1:11">
      <c r="A166" s="2"/>
      <c r="B166" s="4"/>
      <c r="C166" s="2"/>
      <c r="D166" s="2"/>
      <c r="E166" s="2"/>
      <c r="F166" s="2"/>
      <c r="G166" s="2"/>
      <c r="H166" s="2"/>
      <c r="I166" s="2"/>
      <c r="J166" s="2"/>
      <c r="K166" s="2"/>
    </row>
    <row r="167" spans="1:11">
      <c r="A167" s="2"/>
      <c r="B167" s="4"/>
      <c r="C167" s="2"/>
      <c r="D167" s="2"/>
      <c r="E167" s="2"/>
      <c r="F167" s="2"/>
      <c r="G167" s="2"/>
      <c r="H167" s="2"/>
      <c r="I167" s="2"/>
      <c r="J167" s="2"/>
      <c r="K167" s="2"/>
    </row>
    <row r="168" spans="1:11">
      <c r="A168" s="2"/>
      <c r="B168" s="257" t="s">
        <v>198</v>
      </c>
      <c r="C168" s="256"/>
      <c r="D168" s="256"/>
      <c r="E168" s="256"/>
      <c r="F168" s="256" t="s">
        <v>199</v>
      </c>
      <c r="G168" s="256"/>
      <c r="H168" s="2"/>
      <c r="I168" s="2"/>
      <c r="J168" s="2"/>
      <c r="K168" s="2"/>
    </row>
    <row r="169" spans="1:11">
      <c r="A169" s="2"/>
      <c r="B169" s="257" t="s">
        <v>200</v>
      </c>
      <c r="C169" s="256"/>
      <c r="D169" s="256"/>
      <c r="E169" s="256"/>
      <c r="F169" s="256" t="s">
        <v>201</v>
      </c>
      <c r="G169" s="256"/>
      <c r="H169" s="2"/>
      <c r="I169" s="2"/>
      <c r="J169" s="2"/>
      <c r="K169" s="2"/>
    </row>
    <row r="170" spans="1:11">
      <c r="A170" s="2"/>
      <c r="B170" s="257" t="s">
        <v>202</v>
      </c>
      <c r="C170" s="256"/>
      <c r="D170" s="256"/>
      <c r="E170" s="256"/>
      <c r="F170" s="256" t="s">
        <v>203</v>
      </c>
      <c r="G170" s="256"/>
      <c r="H170" s="2"/>
      <c r="I170" s="2"/>
      <c r="J170" s="2"/>
      <c r="K170" s="2"/>
    </row>
    <row r="171" spans="1:11">
      <c r="A171" s="2"/>
      <c r="B171" s="257" t="s">
        <v>204</v>
      </c>
      <c r="C171" s="256"/>
      <c r="D171" s="256"/>
      <c r="E171" s="256"/>
      <c r="F171" s="256"/>
      <c r="G171" s="256"/>
      <c r="H171" s="2"/>
      <c r="I171" s="2"/>
      <c r="J171" s="2"/>
      <c r="K171" s="2"/>
    </row>
    <row r="172" spans="1:11">
      <c r="A172" s="2"/>
      <c r="B172" s="257" t="s">
        <v>205</v>
      </c>
      <c r="C172" s="256"/>
      <c r="D172" s="256"/>
      <c r="E172" s="256"/>
      <c r="F172" s="256"/>
      <c r="G172" s="256"/>
      <c r="H172" s="2"/>
      <c r="I172" s="2"/>
      <c r="J172" s="2"/>
      <c r="K172" s="2"/>
    </row>
    <row r="173" spans="1:11">
      <c r="A173" s="2"/>
      <c r="B173" s="257" t="s">
        <v>206</v>
      </c>
      <c r="C173" s="256"/>
      <c r="D173" s="256"/>
      <c r="E173" s="256"/>
      <c r="F173" s="256"/>
      <c r="G173" s="256"/>
      <c r="H173" s="2"/>
      <c r="I173" s="2"/>
      <c r="J173" s="2"/>
      <c r="K173" s="2"/>
    </row>
    <row r="174" spans="1:11">
      <c r="A174" s="2"/>
      <c r="B174" s="257" t="s">
        <v>207</v>
      </c>
      <c r="C174" s="256"/>
      <c r="D174" s="256"/>
      <c r="E174" s="256"/>
      <c r="F174" s="256"/>
      <c r="G174" s="256"/>
      <c r="H174" s="2"/>
      <c r="I174" s="2"/>
      <c r="J174" s="2"/>
      <c r="K174" s="2"/>
    </row>
    <row r="175" spans="1:11">
      <c r="A175" s="2"/>
      <c r="B175" s="257" t="s">
        <v>208</v>
      </c>
      <c r="C175" s="256" t="s">
        <v>209</v>
      </c>
      <c r="D175" s="256"/>
      <c r="E175" s="256"/>
      <c r="F175" s="256"/>
      <c r="G175" s="256"/>
      <c r="H175" s="2"/>
      <c r="I175" s="2"/>
      <c r="J175" s="2"/>
      <c r="K175" s="2"/>
    </row>
    <row r="176" spans="1:11">
      <c r="A176" s="2"/>
      <c r="B176" s="257" t="s">
        <v>210</v>
      </c>
      <c r="C176" s="256"/>
      <c r="D176" s="256"/>
      <c r="E176" s="256"/>
      <c r="F176" s="256"/>
      <c r="G176" s="256"/>
      <c r="H176" s="2"/>
      <c r="I176" s="2"/>
      <c r="J176" s="2"/>
      <c r="K176" s="2"/>
    </row>
    <row r="177" spans="1:11">
      <c r="A177" s="2"/>
      <c r="B177" s="257" t="s">
        <v>211</v>
      </c>
      <c r="C177" s="256"/>
      <c r="D177" s="256"/>
      <c r="E177" s="256"/>
      <c r="F177" s="256"/>
      <c r="G177" s="256"/>
      <c r="H177" s="2"/>
      <c r="I177" s="2"/>
      <c r="J177" s="2"/>
      <c r="K177" s="2"/>
    </row>
    <row r="178" spans="1:11">
      <c r="A178" s="2"/>
      <c r="B178" s="257" t="s">
        <v>212</v>
      </c>
      <c r="C178" s="256"/>
      <c r="D178" s="256"/>
      <c r="E178" s="256"/>
      <c r="F178" s="256"/>
      <c r="G178" s="256"/>
      <c r="H178" s="2"/>
      <c r="I178" s="2"/>
      <c r="J178" s="2"/>
      <c r="K178" s="2"/>
    </row>
    <row r="179" spans="1:11">
      <c r="A179" s="2"/>
      <c r="B179" s="257"/>
      <c r="C179" s="256"/>
      <c r="D179" s="256"/>
      <c r="E179" s="256"/>
      <c r="F179" s="256"/>
      <c r="G179" s="256"/>
      <c r="H179" s="2"/>
      <c r="I179" s="2"/>
      <c r="J179" s="2"/>
      <c r="K179" s="2"/>
    </row>
    <row r="180" spans="1:11">
      <c r="A180" s="2"/>
      <c r="B180" s="4"/>
      <c r="C180" s="2"/>
      <c r="D180" s="2"/>
      <c r="E180" s="2"/>
      <c r="F180" s="2"/>
      <c r="G180" s="2"/>
      <c r="H180" s="2"/>
      <c r="I180" s="2"/>
      <c r="J180" s="2"/>
      <c r="K180" s="2"/>
    </row>
    <row r="181" spans="1:11">
      <c r="A181" s="2"/>
      <c r="B181" s="4"/>
      <c r="C181" s="2" t="s">
        <v>213</v>
      </c>
      <c r="D181" s="2" t="s">
        <v>214</v>
      </c>
      <c r="E181" s="2"/>
      <c r="F181" s="2"/>
      <c r="G181" s="2"/>
      <c r="H181" s="2"/>
      <c r="I181" s="2"/>
      <c r="J181" s="2"/>
      <c r="K181" s="2"/>
    </row>
    <row r="182" spans="1:11">
      <c r="A182" s="2"/>
      <c r="B182" s="4"/>
      <c r="C182" s="2"/>
      <c r="D182" s="2"/>
      <c r="E182" s="2"/>
      <c r="F182" s="2"/>
      <c r="G182" s="2"/>
      <c r="H182" s="2"/>
      <c r="I182" s="2"/>
      <c r="J182" s="2"/>
      <c r="K182" s="2"/>
    </row>
    <row r="183" spans="1:11">
      <c r="A183" s="2"/>
      <c r="B183" s="4"/>
      <c r="C183" s="2"/>
      <c r="D183" s="2"/>
      <c r="E183" s="2"/>
      <c r="F183" s="2"/>
      <c r="G183" s="2"/>
      <c r="H183" s="2"/>
      <c r="I183" s="2"/>
      <c r="J183" s="2"/>
      <c r="K183" s="2"/>
    </row>
    <row r="184" spans="1:11">
      <c r="A184" s="2"/>
      <c r="B184" s="4"/>
      <c r="C184" s="2"/>
      <c r="D184" s="2"/>
      <c r="E184" s="2"/>
      <c r="F184" s="2"/>
      <c r="G184" s="2"/>
      <c r="H184" s="2"/>
      <c r="I184" s="2"/>
      <c r="J184" s="2"/>
      <c r="K184" s="2"/>
    </row>
    <row r="185" spans="1:11">
      <c r="A185" s="2"/>
      <c r="B185" s="4"/>
      <c r="C185" s="2"/>
      <c r="D185" s="2"/>
      <c r="E185" s="2"/>
      <c r="F185" s="2"/>
      <c r="G185" s="2"/>
      <c r="H185" s="2"/>
      <c r="I185" s="2"/>
      <c r="J185" s="2"/>
      <c r="K185" s="2"/>
    </row>
    <row r="186" spans="1:11">
      <c r="A186" s="2"/>
      <c r="B186" s="4"/>
      <c r="C186" s="2"/>
      <c r="D186" s="2"/>
      <c r="E186" s="2"/>
      <c r="F186" s="2"/>
      <c r="G186" s="2"/>
      <c r="H186" s="2"/>
      <c r="I186" s="2"/>
      <c r="J186" s="2"/>
      <c r="K186" s="2"/>
    </row>
    <row r="187" spans="1:11">
      <c r="A187" s="2"/>
      <c r="B187" s="4"/>
      <c r="C187" s="2"/>
      <c r="D187" s="2"/>
      <c r="E187" s="2"/>
      <c r="F187" s="2"/>
      <c r="G187" s="2"/>
      <c r="H187" s="2"/>
      <c r="I187" s="2"/>
      <c r="J187" s="2"/>
      <c r="K187" s="2"/>
    </row>
    <row r="188" spans="1:11">
      <c r="A188" s="2"/>
      <c r="B188" s="4"/>
      <c r="C188" s="2"/>
      <c r="D188" s="2"/>
      <c r="E188" s="2"/>
      <c r="F188" s="2"/>
      <c r="G188" s="2"/>
      <c r="H188" s="2"/>
      <c r="I188" s="2"/>
      <c r="J188" s="2"/>
      <c r="K188" s="2"/>
    </row>
    <row r="189" spans="1:11">
      <c r="A189" s="2"/>
      <c r="B189" s="4"/>
      <c r="C189" s="2"/>
      <c r="D189" s="2"/>
      <c r="E189" s="2"/>
      <c r="F189" s="2"/>
      <c r="G189" s="2"/>
      <c r="H189" s="2"/>
      <c r="I189" s="2"/>
      <c r="J189" s="2"/>
      <c r="K189" s="2"/>
    </row>
    <row r="190" spans="1:11">
      <c r="A190" s="2"/>
      <c r="B190" s="4"/>
      <c r="C190" s="2"/>
      <c r="D190" s="2"/>
      <c r="E190" s="2"/>
      <c r="F190" s="2"/>
      <c r="G190" s="2"/>
      <c r="H190" s="2"/>
      <c r="I190" s="2"/>
      <c r="J190" s="2"/>
      <c r="K190" s="2"/>
    </row>
    <row r="191" spans="1:11">
      <c r="A191" s="2"/>
      <c r="B191" s="4"/>
      <c r="C191" s="2"/>
      <c r="D191" s="2"/>
      <c r="E191" s="2"/>
      <c r="F191" s="2"/>
      <c r="G191" s="2"/>
      <c r="H191" s="2"/>
      <c r="I191" s="2"/>
      <c r="J191" s="2"/>
      <c r="K191" s="2"/>
    </row>
    <row r="192" spans="1:11">
      <c r="A192" s="2"/>
      <c r="B192" s="4"/>
      <c r="C192" s="2"/>
      <c r="D192" s="2"/>
      <c r="E192" s="2"/>
      <c r="F192" s="2"/>
      <c r="G192" s="2"/>
      <c r="H192" s="2"/>
      <c r="I192" s="2"/>
      <c r="J192" s="2"/>
      <c r="K192" s="2"/>
    </row>
    <row r="193" spans="1:14">
      <c r="A193" s="2"/>
      <c r="B193" s="4"/>
      <c r="C193" s="2"/>
      <c r="D193" s="2"/>
      <c r="E193" s="2"/>
      <c r="F193" s="2"/>
      <c r="G193" s="2"/>
      <c r="H193" s="2"/>
      <c r="I193" s="2"/>
      <c r="J193" s="2"/>
      <c r="K193" s="2"/>
    </row>
    <row r="194" spans="1:14">
      <c r="A194" s="2"/>
      <c r="B194" s="4"/>
      <c r="C194" s="2"/>
      <c r="D194" s="2"/>
      <c r="E194" s="2"/>
      <c r="F194" s="2"/>
      <c r="G194" s="2"/>
      <c r="H194" s="2"/>
      <c r="I194" s="2"/>
      <c r="J194" s="2"/>
      <c r="K194" s="2"/>
    </row>
    <row r="195" spans="1:14">
      <c r="A195" s="2"/>
      <c r="B195" s="4"/>
      <c r="C195" s="2"/>
      <c r="D195" s="2"/>
      <c r="E195" s="2"/>
      <c r="F195" s="2"/>
      <c r="G195" s="2"/>
      <c r="H195" s="2"/>
      <c r="I195" s="2"/>
      <c r="J195" s="2"/>
      <c r="K195" s="2"/>
    </row>
    <row r="196" spans="1:14">
      <c r="A196" s="2"/>
      <c r="B196" s="4"/>
      <c r="C196" s="2"/>
      <c r="D196" s="2"/>
      <c r="E196" s="2"/>
      <c r="F196" s="2"/>
      <c r="G196" s="2"/>
      <c r="H196" s="2"/>
      <c r="I196" s="2"/>
      <c r="J196" s="2"/>
      <c r="K196" s="2"/>
    </row>
    <row r="197" spans="1:14">
      <c r="A197" s="2"/>
      <c r="B197" s="4"/>
      <c r="C197" s="2"/>
      <c r="D197" s="2"/>
      <c r="E197" s="2"/>
      <c r="F197" s="2"/>
      <c r="G197" s="2"/>
      <c r="H197" s="2"/>
      <c r="I197" s="2"/>
      <c r="J197" s="2"/>
      <c r="K197" s="2"/>
    </row>
    <row r="198" spans="1:14">
      <c r="A198" s="2"/>
      <c r="B198" s="4"/>
      <c r="C198" s="2"/>
      <c r="D198" s="2"/>
      <c r="E198" s="2"/>
      <c r="F198" s="2"/>
      <c r="G198" s="2"/>
      <c r="H198" s="2"/>
      <c r="I198" s="2"/>
      <c r="J198" s="2"/>
      <c r="K198" s="2"/>
    </row>
    <row r="199" spans="1:14">
      <c r="A199" s="2"/>
      <c r="B199" s="4"/>
      <c r="C199" s="2"/>
      <c r="D199" s="2"/>
      <c r="E199" s="2"/>
      <c r="F199" s="2"/>
      <c r="G199" s="2"/>
      <c r="H199" s="2"/>
      <c r="I199" s="2"/>
      <c r="J199" s="2"/>
      <c r="K199" s="2"/>
    </row>
    <row r="200" spans="1:14">
      <c r="A200" s="2"/>
      <c r="B200" s="4"/>
      <c r="C200" s="2"/>
      <c r="D200" s="2"/>
      <c r="E200" s="2"/>
      <c r="F200" s="2"/>
      <c r="G200" s="2"/>
      <c r="H200" s="2"/>
      <c r="I200" s="2"/>
      <c r="J200" s="2"/>
      <c r="K200" s="2"/>
    </row>
    <row r="201" spans="1:14">
      <c r="A201" s="2"/>
      <c r="B201" s="4"/>
      <c r="C201" s="2"/>
      <c r="D201" s="2"/>
      <c r="E201" s="2"/>
      <c r="F201" s="2"/>
      <c r="G201" s="2"/>
      <c r="H201" s="2"/>
      <c r="I201" s="2"/>
      <c r="J201" s="2"/>
      <c r="K201" s="2"/>
    </row>
    <row r="202" spans="1:14">
      <c r="A202" s="2"/>
      <c r="B202" s="4"/>
      <c r="C202" s="2"/>
      <c r="D202" s="2"/>
      <c r="E202" s="2"/>
      <c r="F202" s="2"/>
      <c r="G202" s="2"/>
      <c r="H202" s="2"/>
      <c r="I202" s="2"/>
      <c r="J202" s="2"/>
      <c r="K202" s="2"/>
    </row>
    <row r="203" spans="1:14">
      <c r="A203" s="2"/>
      <c r="B203" s="4"/>
      <c r="C203" s="2"/>
      <c r="D203" s="2"/>
      <c r="E203" s="2"/>
      <c r="F203" s="2"/>
      <c r="G203" s="2"/>
      <c r="H203" s="2"/>
      <c r="I203" s="2"/>
      <c r="J203" s="2"/>
      <c r="K203" s="2"/>
    </row>
    <row r="204" spans="1:14">
      <c r="A204" s="2"/>
      <c r="B204" s="4"/>
      <c r="C204" s="2"/>
      <c r="D204" s="2"/>
      <c r="E204" s="2"/>
      <c r="F204" s="2"/>
      <c r="G204" s="2"/>
      <c r="H204" s="2"/>
      <c r="I204" s="2"/>
      <c r="J204" s="2"/>
      <c r="K204" s="2"/>
    </row>
    <row r="205" spans="1:14">
      <c r="A205" s="2"/>
      <c r="B205" s="4"/>
      <c r="C205" s="2"/>
      <c r="D205" s="2"/>
      <c r="E205" s="2"/>
      <c r="F205" s="2"/>
      <c r="G205" s="2"/>
      <c r="H205" s="2"/>
      <c r="I205" s="2"/>
      <c r="J205" s="2"/>
      <c r="K205" s="2"/>
    </row>
    <row r="206" spans="1:14">
      <c r="A206" s="2"/>
      <c r="B206" s="4"/>
      <c r="C206" s="2"/>
      <c r="D206" s="2"/>
      <c r="E206" s="2"/>
      <c r="F206" s="2"/>
      <c r="G206" s="2"/>
      <c r="H206" s="2"/>
      <c r="I206" s="2"/>
      <c r="J206" s="2"/>
      <c r="K206" s="2"/>
    </row>
    <row r="207" spans="1:14">
      <c r="A207" s="2"/>
      <c r="B207" s="2"/>
      <c r="C207" s="2"/>
      <c r="D207" s="2"/>
      <c r="E207" s="2"/>
      <c r="F207" s="2"/>
      <c r="G207" s="2"/>
      <c r="H207" s="2"/>
      <c r="I207" s="2"/>
      <c r="J207" s="2"/>
      <c r="K207" s="2"/>
      <c r="N207" s="59"/>
    </row>
    <row r="208" spans="1:14">
      <c r="A208" s="2"/>
      <c r="B208" s="2"/>
      <c r="C208" s="2"/>
      <c r="D208" s="2"/>
      <c r="E208" s="2"/>
      <c r="F208" s="2"/>
      <c r="G208" s="2"/>
      <c r="H208" s="2"/>
      <c r="I208" s="2"/>
      <c r="J208" s="2"/>
      <c r="K208" s="2"/>
      <c r="N208" s="59"/>
    </row>
    <row r="209" spans="1:14">
      <c r="A209" s="2"/>
      <c r="B209" s="2"/>
      <c r="C209" s="2"/>
      <c r="D209" s="2"/>
      <c r="E209" s="2"/>
      <c r="F209" s="2"/>
      <c r="G209" s="2"/>
      <c r="H209" s="2"/>
      <c r="I209" s="2"/>
      <c r="J209" s="2"/>
      <c r="K209" s="2"/>
      <c r="N209" s="59"/>
    </row>
    <row r="210" spans="1:14">
      <c r="A210" s="2"/>
      <c r="B210" s="2"/>
      <c r="C210" s="2"/>
      <c r="D210" s="2"/>
      <c r="E210" s="2"/>
      <c r="F210" s="2"/>
      <c r="G210" s="2"/>
      <c r="H210" s="2"/>
      <c r="I210" s="2"/>
      <c r="J210" s="2"/>
      <c r="K210" s="2"/>
      <c r="N210" s="59"/>
    </row>
    <row r="211" spans="1:14">
      <c r="A211" s="2"/>
      <c r="B211" s="2"/>
      <c r="C211" s="2"/>
      <c r="D211" s="2"/>
      <c r="E211" s="2"/>
      <c r="F211" s="2"/>
      <c r="G211" s="2"/>
      <c r="H211" s="2"/>
      <c r="I211" s="2"/>
      <c r="J211" s="2"/>
      <c r="K211" s="2"/>
      <c r="N211" s="59"/>
    </row>
    <row r="212" spans="1:14">
      <c r="A212" s="2"/>
      <c r="B212" s="2"/>
      <c r="C212" s="2"/>
      <c r="D212" s="2"/>
      <c r="E212" s="2"/>
      <c r="F212" s="2"/>
      <c r="G212" s="2"/>
      <c r="H212" s="2"/>
      <c r="I212" s="2"/>
      <c r="J212" s="2"/>
      <c r="K212" s="2"/>
      <c r="N212" s="59"/>
    </row>
    <row r="213" spans="1:14">
      <c r="A213" s="2"/>
      <c r="B213" s="2"/>
      <c r="C213" s="2"/>
      <c r="D213" s="2"/>
      <c r="E213" s="2"/>
      <c r="F213" s="2"/>
      <c r="G213" s="2"/>
      <c r="H213" s="2"/>
      <c r="I213" s="2"/>
      <c r="J213" s="2"/>
      <c r="K213" s="2"/>
      <c r="N213" s="59"/>
    </row>
    <row r="214" spans="1:14">
      <c r="A214" s="2"/>
      <c r="B214" s="2"/>
      <c r="C214" s="2" t="s">
        <v>215</v>
      </c>
      <c r="D214" s="2"/>
      <c r="E214" s="48">
        <v>45373</v>
      </c>
      <c r="F214" s="48"/>
      <c r="G214" s="2"/>
      <c r="H214" s="2"/>
      <c r="I214" s="2"/>
      <c r="J214" s="2"/>
      <c r="K214" s="2"/>
      <c r="N214" s="59"/>
    </row>
    <row r="215" spans="1:14">
      <c r="A215" s="2"/>
      <c r="B215" s="2"/>
      <c r="C215" s="2" t="s">
        <v>95</v>
      </c>
      <c r="D215" s="2"/>
      <c r="E215" s="48">
        <v>46066</v>
      </c>
      <c r="F215" s="48"/>
      <c r="G215" s="2"/>
      <c r="H215" s="2"/>
      <c r="I215" s="2"/>
      <c r="J215" s="2"/>
      <c r="K215" s="2"/>
    </row>
    <row r="216" spans="1:14">
      <c r="A216" s="2"/>
      <c r="B216" s="2"/>
      <c r="C216" s="2"/>
      <c r="D216" s="2"/>
      <c r="E216" s="49"/>
      <c r="F216" s="49"/>
      <c r="G216" s="2"/>
      <c r="H216" s="2"/>
      <c r="I216" s="2"/>
      <c r="J216" s="2"/>
      <c r="K216" s="2"/>
    </row>
    <row r="217" spans="1:14">
      <c r="A217" s="2"/>
      <c r="B217" s="2"/>
      <c r="C217" s="2"/>
      <c r="D217" s="2"/>
      <c r="E217" s="27">
        <f>DAYS360(E214,E215,0)/360</f>
        <v>1.8916666666666666</v>
      </c>
      <c r="F217" s="27"/>
      <c r="G217" s="2"/>
      <c r="H217" s="2"/>
      <c r="I217" s="2"/>
      <c r="J217" s="2"/>
      <c r="K217" s="2"/>
    </row>
    <row r="218" spans="1:14">
      <c r="A218" s="2"/>
      <c r="B218" s="2"/>
      <c r="C218" s="2"/>
      <c r="D218" s="2"/>
      <c r="E218" s="2"/>
      <c r="F218" s="2"/>
      <c r="G218" s="2"/>
      <c r="H218" s="2"/>
      <c r="I218" s="2"/>
      <c r="J218" s="2"/>
      <c r="K218" s="2"/>
    </row>
    <row r="219" spans="1:14">
      <c r="A219" s="2"/>
      <c r="B219" s="2"/>
      <c r="C219" s="2"/>
      <c r="D219" s="2"/>
      <c r="E219" s="2"/>
      <c r="F219" s="2"/>
      <c r="G219" s="2"/>
      <c r="H219" s="2"/>
      <c r="I219" s="2"/>
      <c r="J219" s="2"/>
      <c r="K219" s="2"/>
    </row>
    <row r="220" spans="1:14">
      <c r="A220" s="2"/>
      <c r="B220" s="2"/>
      <c r="C220" s="2"/>
      <c r="D220" s="2"/>
      <c r="E220" s="2"/>
      <c r="F220" s="2"/>
      <c r="G220" s="2"/>
      <c r="H220" s="2"/>
      <c r="I220" s="2"/>
      <c r="J220" s="2"/>
      <c r="K220" s="2"/>
    </row>
    <row r="221" spans="1:14">
      <c r="A221" s="2"/>
      <c r="B221" s="2"/>
      <c r="C221" s="2"/>
      <c r="D221" s="2"/>
      <c r="E221" s="2"/>
      <c r="F221" s="2"/>
      <c r="G221" s="2"/>
      <c r="H221" s="2"/>
      <c r="I221" s="2"/>
      <c r="J221" s="2"/>
      <c r="K221" s="2"/>
    </row>
    <row r="222" spans="1:14">
      <c r="A222" s="2"/>
      <c r="B222" s="2"/>
      <c r="C222" s="2"/>
      <c r="D222" s="2"/>
      <c r="E222" s="2"/>
      <c r="F222" s="2"/>
      <c r="G222" s="2"/>
      <c r="H222" s="2"/>
      <c r="I222" s="2"/>
      <c r="J222" s="2"/>
      <c r="K222" s="2"/>
    </row>
    <row r="223" spans="1:14">
      <c r="A223" s="2"/>
      <c r="B223" s="2"/>
      <c r="C223" s="2"/>
      <c r="D223" s="2"/>
      <c r="E223" s="2"/>
      <c r="F223" s="2"/>
      <c r="G223" s="2"/>
      <c r="H223" s="2"/>
      <c r="I223" s="50"/>
      <c r="J223" s="2"/>
      <c r="K223" s="2"/>
    </row>
    <row r="224" spans="1:14">
      <c r="A224" s="2"/>
      <c r="B224" s="2"/>
      <c r="C224" s="2"/>
      <c r="D224" s="2"/>
      <c r="E224" s="2"/>
      <c r="F224" s="2"/>
      <c r="G224" s="2"/>
      <c r="H224" s="2"/>
      <c r="I224" s="2"/>
      <c r="J224" s="2"/>
      <c r="K224" s="2"/>
    </row>
    <row r="225" spans="1:11">
      <c r="A225" s="2"/>
      <c r="B225" s="2"/>
      <c r="C225" s="2"/>
      <c r="D225" s="2"/>
      <c r="E225" s="2"/>
      <c r="F225" s="2"/>
      <c r="G225" s="2"/>
      <c r="H225" s="2"/>
      <c r="I225" s="2"/>
      <c r="J225" s="2"/>
      <c r="K225" s="2"/>
    </row>
    <row r="226" spans="1:11">
      <c r="A226" s="2"/>
      <c r="B226" s="2"/>
      <c r="C226" s="2"/>
      <c r="D226" s="2"/>
      <c r="E226" s="2"/>
      <c r="F226" s="2"/>
      <c r="G226" s="2"/>
      <c r="H226" s="2"/>
      <c r="I226" s="2"/>
      <c r="J226" s="2"/>
      <c r="K226" s="2"/>
    </row>
    <row r="227" spans="1:11">
      <c r="A227" s="2"/>
      <c r="B227" s="2"/>
      <c r="C227" s="2"/>
      <c r="D227" s="2"/>
      <c r="E227" s="2"/>
      <c r="F227" s="2"/>
      <c r="G227" s="2"/>
      <c r="H227" s="2"/>
      <c r="I227" s="2"/>
      <c r="J227" s="2"/>
      <c r="K227" s="2"/>
    </row>
    <row r="228" spans="1:11">
      <c r="A228" s="2"/>
      <c r="B228" s="2"/>
      <c r="C228" s="2"/>
      <c r="D228" s="2"/>
      <c r="E228" s="2"/>
      <c r="F228" s="2"/>
      <c r="G228" s="2"/>
      <c r="H228" s="2"/>
      <c r="I228" s="2"/>
      <c r="J228" s="2"/>
      <c r="K228" s="2"/>
    </row>
    <row r="229" spans="1:11">
      <c r="A229" s="2"/>
      <c r="B229" s="2"/>
      <c r="C229" s="2"/>
      <c r="D229" s="2"/>
      <c r="E229" s="2"/>
      <c r="F229" s="2"/>
      <c r="G229" s="2"/>
      <c r="H229" s="2"/>
      <c r="I229" s="2"/>
      <c r="J229" s="2"/>
      <c r="K229" s="2"/>
    </row>
    <row r="230" spans="1:11">
      <c r="A230" s="2"/>
      <c r="B230" s="2"/>
      <c r="C230" s="2"/>
      <c r="D230" s="2"/>
      <c r="E230" s="2"/>
      <c r="F230" s="2"/>
      <c r="G230" s="2"/>
      <c r="H230" s="2"/>
      <c r="I230" s="2"/>
      <c r="J230" s="2"/>
      <c r="K230" s="2"/>
    </row>
    <row r="231" spans="1:11">
      <c r="A231" s="2"/>
      <c r="B231" s="2"/>
      <c r="C231" s="2"/>
      <c r="D231" s="2"/>
      <c r="E231" s="2"/>
      <c r="F231" s="2"/>
      <c r="G231" s="2"/>
      <c r="H231" s="2"/>
      <c r="I231" s="2"/>
      <c r="J231" s="2"/>
      <c r="K231" s="2"/>
    </row>
    <row r="232" spans="1:11">
      <c r="A232" s="2"/>
      <c r="B232" s="2"/>
      <c r="C232" s="2"/>
      <c r="D232" s="2"/>
      <c r="E232" s="2"/>
      <c r="F232" s="2"/>
      <c r="G232" s="2"/>
      <c r="H232" s="2"/>
      <c r="I232" s="2"/>
      <c r="J232" s="2"/>
      <c r="K232" s="2"/>
    </row>
    <row r="233" spans="1:11">
      <c r="A233" s="2"/>
      <c r="B233" s="2"/>
      <c r="C233" s="2"/>
      <c r="D233" s="2"/>
      <c r="E233" s="2"/>
      <c r="F233" s="2"/>
      <c r="G233" s="2"/>
      <c r="H233" s="2"/>
      <c r="I233" s="2"/>
      <c r="J233" s="2"/>
      <c r="K233" s="2"/>
    </row>
    <row r="234" spans="1:11">
      <c r="A234" s="2"/>
      <c r="B234" s="2"/>
      <c r="C234" s="2"/>
      <c r="D234" s="2"/>
      <c r="E234" s="2"/>
      <c r="F234" s="2"/>
      <c r="G234" s="2"/>
      <c r="H234" s="2"/>
      <c r="I234" s="2"/>
      <c r="J234" s="2"/>
      <c r="K234" s="2"/>
    </row>
    <row r="235" spans="1:11">
      <c r="A235" s="2"/>
      <c r="B235" s="2"/>
      <c r="C235" s="2"/>
      <c r="D235" s="2"/>
      <c r="E235" s="2"/>
      <c r="F235" s="2"/>
      <c r="G235" s="2"/>
      <c r="H235" s="2"/>
      <c r="I235" s="2"/>
      <c r="J235" s="2"/>
      <c r="K235" s="2"/>
    </row>
    <row r="236" spans="1:11">
      <c r="A236" s="2"/>
      <c r="B236" s="2"/>
      <c r="C236" s="2"/>
      <c r="D236" s="2"/>
      <c r="E236" s="2"/>
      <c r="F236" s="2"/>
      <c r="G236" s="2"/>
      <c r="H236" s="2"/>
      <c r="I236" s="2"/>
      <c r="J236" s="2"/>
      <c r="K236" s="2"/>
    </row>
    <row r="237" spans="1:11">
      <c r="A237" s="2"/>
      <c r="B237" s="2"/>
      <c r="C237" s="2"/>
      <c r="D237" s="2"/>
      <c r="E237" s="2"/>
      <c r="F237" s="2"/>
      <c r="G237" s="2"/>
      <c r="H237" s="2"/>
      <c r="I237" s="2"/>
      <c r="J237" s="2"/>
      <c r="K237" s="2"/>
    </row>
    <row r="238" spans="1:11">
      <c r="A238" s="2"/>
      <c r="B238" s="2"/>
      <c r="C238" s="2"/>
      <c r="D238" s="2"/>
      <c r="E238" s="2"/>
      <c r="F238" s="2"/>
      <c r="G238" s="2"/>
      <c r="H238" s="2"/>
      <c r="I238" s="2"/>
      <c r="J238" s="2"/>
      <c r="K238" s="2"/>
    </row>
    <row r="239" spans="1:11">
      <c r="A239" s="2"/>
      <c r="B239" s="2"/>
      <c r="C239" s="2"/>
      <c r="D239" s="2"/>
      <c r="E239" s="2"/>
      <c r="F239" s="2"/>
      <c r="G239" s="2"/>
      <c r="H239" s="2"/>
      <c r="I239" s="2"/>
      <c r="J239" s="2"/>
      <c r="K239" s="2"/>
    </row>
    <row r="240" spans="1:11">
      <c r="A240" s="2"/>
      <c r="B240" s="2"/>
      <c r="C240" s="2"/>
      <c r="D240" s="2"/>
      <c r="E240" s="2"/>
      <c r="F240" s="2"/>
      <c r="G240" s="2"/>
      <c r="H240" s="2"/>
      <c r="I240" s="2"/>
      <c r="J240" s="2"/>
      <c r="K240" s="2"/>
    </row>
    <row r="241" spans="1:11">
      <c r="A241" s="2"/>
      <c r="B241" s="2"/>
      <c r="C241" s="2"/>
      <c r="D241" s="2"/>
      <c r="E241" s="2"/>
      <c r="F241" s="2"/>
      <c r="G241" s="2"/>
      <c r="H241" s="2"/>
      <c r="I241" s="2"/>
      <c r="J241" s="2"/>
      <c r="K241" s="2"/>
    </row>
    <row r="242" spans="1:11">
      <c r="A242" s="2"/>
      <c r="B242" s="2"/>
      <c r="C242" s="2"/>
      <c r="D242" s="2"/>
      <c r="E242" s="2"/>
      <c r="F242" s="2"/>
      <c r="G242" s="2"/>
      <c r="H242" s="2"/>
      <c r="I242" s="2"/>
      <c r="J242" s="2"/>
      <c r="K242" s="2"/>
    </row>
    <row r="243" spans="1:11">
      <c r="A243" s="2"/>
      <c r="K243" s="2"/>
    </row>
    <row r="244" spans="1:11">
      <c r="A244" s="2"/>
      <c r="K244" s="2"/>
    </row>
    <row r="245" spans="1:11">
      <c r="A245" s="2"/>
      <c r="K245" s="2"/>
    </row>
    <row r="246" spans="1:11">
      <c r="A246" s="2"/>
      <c r="K246" s="2"/>
    </row>
    <row r="247" spans="1:11">
      <c r="A247" s="2"/>
      <c r="K247" s="2"/>
    </row>
    <row r="248" spans="1:11">
      <c r="A248" s="2"/>
      <c r="K248" s="2"/>
    </row>
    <row r="249" spans="1:11">
      <c r="A249" s="2"/>
      <c r="K249" s="2"/>
    </row>
    <row r="250" spans="1:11">
      <c r="A250" s="2"/>
      <c r="K250" s="2"/>
    </row>
    <row r="251" spans="1:11">
      <c r="A251" s="2"/>
      <c r="K251" s="2"/>
    </row>
    <row r="252" spans="1:11">
      <c r="A252" s="2"/>
      <c r="K252" s="2"/>
    </row>
    <row r="253" spans="1:11">
      <c r="A253" s="2"/>
      <c r="K253" s="2"/>
    </row>
    <row r="254" spans="1:11">
      <c r="A254" s="2"/>
      <c r="K254" s="2"/>
    </row>
    <row r="255" spans="1:11">
      <c r="A255" s="2"/>
      <c r="K255" s="2"/>
    </row>
    <row r="256" spans="1:11">
      <c r="A256" s="2"/>
      <c r="K256" s="2"/>
    </row>
    <row r="257" spans="1:11">
      <c r="A257" s="2"/>
      <c r="K257" s="2"/>
    </row>
    <row r="258" spans="1:11">
      <c r="A258" s="2"/>
    </row>
    <row r="259" spans="1:11">
      <c r="A259" s="2"/>
    </row>
    <row r="260" spans="1:11">
      <c r="A260" s="2"/>
    </row>
    <row r="261" spans="1:11">
      <c r="A261" s="2"/>
    </row>
    <row r="262" spans="1:11">
      <c r="A262" s="2"/>
    </row>
    <row r="263" spans="1:11">
      <c r="A263" s="2"/>
    </row>
    <row r="264" spans="1:11">
      <c r="A264" s="2"/>
    </row>
    <row r="265" spans="1:11">
      <c r="A265" s="2"/>
    </row>
    <row r="266" spans="1:11">
      <c r="A266" s="2"/>
    </row>
    <row r="267" spans="1:11">
      <c r="A267" s="2"/>
    </row>
    <row r="268" spans="1:11">
      <c r="A268" s="2"/>
    </row>
    <row r="269" spans="1:11">
      <c r="A269" s="2"/>
    </row>
    <row r="270" spans="1:11">
      <c r="A270" s="2"/>
    </row>
    <row r="271" spans="1:11">
      <c r="A271" s="2"/>
    </row>
    <row r="272" spans="1:11">
      <c r="A272" s="2"/>
    </row>
    <row r="273" spans="1:1">
      <c r="A273" s="2"/>
    </row>
    <row r="274" spans="1:1">
      <c r="A274" s="2"/>
    </row>
    <row r="275" spans="1:1">
      <c r="A275" s="2"/>
    </row>
    <row r="276" spans="1:1">
      <c r="A276" s="2"/>
    </row>
    <row r="277" spans="1:1">
      <c r="A277" s="2"/>
    </row>
    <row r="278" spans="1:1">
      <c r="A278" s="2"/>
    </row>
    <row r="279" spans="1:1">
      <c r="A279" s="2"/>
    </row>
    <row r="280" spans="1:1">
      <c r="A280" s="2"/>
    </row>
    <row r="281" spans="1:1">
      <c r="A281" s="2"/>
    </row>
    <row r="282" spans="1:1">
      <c r="A282" s="2"/>
    </row>
    <row r="283" spans="1:1">
      <c r="A283" s="2"/>
    </row>
    <row r="284" spans="1:1">
      <c r="A284" s="2"/>
    </row>
    <row r="285" spans="1:1">
      <c r="A285" s="2"/>
    </row>
    <row r="286" spans="1:1">
      <c r="A286" s="2"/>
    </row>
    <row r="287" spans="1:1">
      <c r="A287" s="2"/>
    </row>
    <row r="288" spans="1:1">
      <c r="A288" s="2"/>
    </row>
    <row r="289" spans="1:1">
      <c r="A289" s="2"/>
    </row>
    <row r="290" spans="1:1">
      <c r="A290" s="2"/>
    </row>
    <row r="291" spans="1:1">
      <c r="A291" s="2"/>
    </row>
    <row r="292" spans="1:1">
      <c r="A292" s="2"/>
    </row>
    <row r="293" spans="1:1">
      <c r="A293" s="2"/>
    </row>
    <row r="294" spans="1:1">
      <c r="A294" s="2"/>
    </row>
    <row r="295" spans="1:1">
      <c r="A295" s="2"/>
    </row>
    <row r="296" spans="1:1">
      <c r="A296" s="2"/>
    </row>
    <row r="297" spans="1:1">
      <c r="A297" s="2"/>
    </row>
    <row r="298" spans="1:1">
      <c r="A298" s="2"/>
    </row>
    <row r="299" spans="1:1">
      <c r="A299" s="2"/>
    </row>
    <row r="300" spans="1:1">
      <c r="A300" s="2"/>
    </row>
    <row r="301" spans="1:1">
      <c r="A301" s="2"/>
    </row>
    <row r="302" spans="1:1">
      <c r="A302" s="2"/>
    </row>
    <row r="303" spans="1:1">
      <c r="A303" s="2"/>
    </row>
    <row r="304" spans="1:1">
      <c r="A304" s="2"/>
    </row>
    <row r="305" spans="1:1">
      <c r="A305" s="2"/>
    </row>
    <row r="306" spans="1:1">
      <c r="A306" s="2"/>
    </row>
    <row r="307" spans="1:1">
      <c r="A307" s="2"/>
    </row>
    <row r="308" spans="1:1">
      <c r="A308" s="2"/>
    </row>
    <row r="309" spans="1:1">
      <c r="A309" s="2"/>
    </row>
    <row r="310" spans="1:1">
      <c r="A310" s="2"/>
    </row>
    <row r="311" spans="1:1">
      <c r="A311" s="2"/>
    </row>
    <row r="312" spans="1:1">
      <c r="A312" s="2"/>
    </row>
    <row r="313" spans="1:1">
      <c r="A313" s="2"/>
    </row>
    <row r="314" spans="1:1">
      <c r="A314" s="2"/>
    </row>
    <row r="315" spans="1:1">
      <c r="A315" s="2"/>
    </row>
    <row r="316" spans="1:1">
      <c r="A316" s="2"/>
    </row>
    <row r="317" spans="1:1">
      <c r="A317" s="2"/>
    </row>
    <row r="318" spans="1:1">
      <c r="A318" s="2"/>
    </row>
    <row r="319" spans="1:1">
      <c r="A319" s="2"/>
    </row>
    <row r="320" spans="1:1">
      <c r="A320" s="2"/>
    </row>
    <row r="321" spans="1:1">
      <c r="A321" s="2"/>
    </row>
    <row r="322" spans="1:1">
      <c r="A322" s="2"/>
    </row>
    <row r="323" spans="1:1">
      <c r="A323" s="2"/>
    </row>
    <row r="324" spans="1:1">
      <c r="A324" s="2"/>
    </row>
    <row r="325" spans="1:1">
      <c r="A325" s="2"/>
    </row>
    <row r="326" spans="1:1">
      <c r="A326" s="2"/>
    </row>
    <row r="327" spans="1:1">
      <c r="A327" s="2"/>
    </row>
    <row r="328" spans="1:1">
      <c r="A328" s="2"/>
    </row>
    <row r="329" spans="1:1">
      <c r="A329" s="2"/>
    </row>
    <row r="330" spans="1:1">
      <c r="A330" s="2"/>
    </row>
    <row r="331" spans="1:1">
      <c r="A331" s="2"/>
    </row>
    <row r="332" spans="1:1">
      <c r="A332" s="2"/>
    </row>
    <row r="333" spans="1:1">
      <c r="A333" s="2"/>
    </row>
    <row r="334" spans="1:1">
      <c r="A334" s="2"/>
    </row>
    <row r="335" spans="1:1">
      <c r="A335" s="2"/>
    </row>
    <row r="336" spans="1:1">
      <c r="A336" s="2"/>
    </row>
    <row r="337" spans="1:1">
      <c r="A337" s="2"/>
    </row>
    <row r="338" spans="1:1">
      <c r="A338" s="2"/>
    </row>
    <row r="339" spans="1:1">
      <c r="A339" s="2"/>
    </row>
    <row r="340" spans="1:1">
      <c r="A340" s="2"/>
    </row>
    <row r="341" spans="1:1">
      <c r="A341" s="2"/>
    </row>
    <row r="342" spans="1:1">
      <c r="A342" s="2"/>
    </row>
    <row r="343" spans="1:1">
      <c r="A343" s="2"/>
    </row>
    <row r="344" spans="1:1">
      <c r="A344" s="2"/>
    </row>
    <row r="345" spans="1:1">
      <c r="A345" s="2"/>
    </row>
    <row r="346" spans="1:1">
      <c r="A346" s="2"/>
    </row>
    <row r="347" spans="1:1">
      <c r="A347" s="2"/>
    </row>
    <row r="348" spans="1:1">
      <c r="A348" s="2"/>
    </row>
    <row r="349" spans="1:1">
      <c r="A349" s="2"/>
    </row>
    <row r="350" spans="1:1">
      <c r="A350" s="2"/>
    </row>
    <row r="351" spans="1:1">
      <c r="A351" s="2"/>
    </row>
    <row r="352" spans="1:1">
      <c r="A352" s="2"/>
    </row>
    <row r="353" spans="1:1">
      <c r="A353" s="2"/>
    </row>
    <row r="354" spans="1:1">
      <c r="A354" s="2"/>
    </row>
    <row r="355" spans="1:1">
      <c r="A355" s="2"/>
    </row>
    <row r="356" spans="1:1">
      <c r="A356" s="2"/>
    </row>
    <row r="357" spans="1:1">
      <c r="A357" s="2"/>
    </row>
    <row r="358" spans="1:1">
      <c r="A358" s="2"/>
    </row>
    <row r="359" spans="1:1">
      <c r="A359" s="2"/>
    </row>
    <row r="360" spans="1:1">
      <c r="A360" s="2"/>
    </row>
    <row r="361" spans="1:1">
      <c r="A361" s="2"/>
    </row>
    <row r="362" spans="1:1">
      <c r="A362" s="2"/>
    </row>
    <row r="363" spans="1:1">
      <c r="A363" s="2"/>
    </row>
    <row r="364" spans="1:1">
      <c r="A364" s="2"/>
    </row>
    <row r="365" spans="1:1">
      <c r="A365" s="2"/>
    </row>
    <row r="366" spans="1:1">
      <c r="A366" s="2"/>
    </row>
    <row r="367" spans="1:1">
      <c r="A367" s="2"/>
    </row>
    <row r="368" spans="1:1">
      <c r="A368" s="2"/>
    </row>
    <row r="369" spans="1:1">
      <c r="A369" s="2"/>
    </row>
    <row r="370" spans="1:1">
      <c r="A370" s="2"/>
    </row>
    <row r="371" spans="1:1">
      <c r="A371" s="2"/>
    </row>
    <row r="372" spans="1:1">
      <c r="A372" s="2"/>
    </row>
    <row r="373" spans="1:1">
      <c r="A373" s="2"/>
    </row>
    <row r="374" spans="1:1">
      <c r="A374" s="2"/>
    </row>
    <row r="375" spans="1:1">
      <c r="A375" s="2"/>
    </row>
    <row r="376" spans="1:1">
      <c r="A376" s="2"/>
    </row>
    <row r="377" spans="1:1">
      <c r="A377" s="2"/>
    </row>
    <row r="378" spans="1:1">
      <c r="A378" s="2"/>
    </row>
    <row r="379" spans="1:1">
      <c r="A379" s="2"/>
    </row>
    <row r="380" spans="1:1">
      <c r="A380" s="2"/>
    </row>
    <row r="381" spans="1:1">
      <c r="A381" s="2"/>
    </row>
    <row r="382" spans="1:1">
      <c r="A382" s="2"/>
    </row>
    <row r="383" spans="1:1">
      <c r="A383" s="2"/>
    </row>
    <row r="384" spans="1:1">
      <c r="A384" s="2"/>
    </row>
    <row r="385" spans="1:1">
      <c r="A385" s="2"/>
    </row>
    <row r="386" spans="1:1">
      <c r="A386" s="2"/>
    </row>
    <row r="387" spans="1:1">
      <c r="A387" s="2"/>
    </row>
    <row r="388" spans="1:1">
      <c r="A388" s="2"/>
    </row>
    <row r="389" spans="1:1">
      <c r="A389" s="2"/>
    </row>
    <row r="390" spans="1:1">
      <c r="A390" s="2"/>
    </row>
    <row r="391" spans="1:1">
      <c r="A391" s="2"/>
    </row>
    <row r="392" spans="1:1">
      <c r="A392" s="2"/>
    </row>
    <row r="393" spans="1:1">
      <c r="A393" s="2"/>
    </row>
    <row r="394" spans="1:1">
      <c r="A394" s="2"/>
    </row>
    <row r="395" spans="1:1">
      <c r="A395" s="2"/>
    </row>
    <row r="396" spans="1:1">
      <c r="A396" s="2"/>
    </row>
    <row r="397" spans="1:1">
      <c r="A397" s="2"/>
    </row>
    <row r="398" spans="1:1">
      <c r="A398" s="2"/>
    </row>
    <row r="399" spans="1:1">
      <c r="A399" s="2"/>
    </row>
    <row r="400" spans="1:1">
      <c r="A400" s="2"/>
    </row>
    <row r="401" spans="1:1">
      <c r="A401" s="2"/>
    </row>
    <row r="402" spans="1:1">
      <c r="A402" s="2"/>
    </row>
    <row r="403" spans="1:1">
      <c r="A403" s="2"/>
    </row>
    <row r="404" spans="1:1">
      <c r="A404" s="2"/>
    </row>
    <row r="405" spans="1:1">
      <c r="A405" s="2"/>
    </row>
    <row r="406" spans="1:1">
      <c r="A406" s="2"/>
    </row>
    <row r="407" spans="1:1">
      <c r="A407" s="2"/>
    </row>
    <row r="408" spans="1:1">
      <c r="A408" s="2"/>
    </row>
    <row r="409" spans="1:1">
      <c r="A409" s="2"/>
    </row>
    <row r="410" spans="1:1">
      <c r="A410" s="2"/>
    </row>
    <row r="411" spans="1:1">
      <c r="A411" s="2"/>
    </row>
    <row r="412" spans="1:1">
      <c r="A412" s="2"/>
    </row>
    <row r="413" spans="1:1">
      <c r="A413" s="2"/>
    </row>
    <row r="414" spans="1:1">
      <c r="A414" s="2"/>
    </row>
    <row r="415" spans="1:1">
      <c r="A415" s="2"/>
    </row>
    <row r="416" spans="1:1">
      <c r="A416" s="2"/>
    </row>
    <row r="417" spans="1:1">
      <c r="A417" s="2"/>
    </row>
    <row r="418" spans="1:1">
      <c r="A418" s="2"/>
    </row>
    <row r="419" spans="1:1">
      <c r="A419" s="2"/>
    </row>
    <row r="420" spans="1:1">
      <c r="A420" s="2"/>
    </row>
    <row r="421" spans="1:1">
      <c r="A421" s="2"/>
    </row>
    <row r="422" spans="1:1">
      <c r="A422" s="2"/>
    </row>
    <row r="423" spans="1:1">
      <c r="A423" s="2"/>
    </row>
    <row r="424" spans="1:1">
      <c r="A424" s="2"/>
    </row>
    <row r="425" spans="1:1">
      <c r="A425" s="2"/>
    </row>
    <row r="426" spans="1:1">
      <c r="A426" s="2"/>
    </row>
    <row r="427" spans="1:1">
      <c r="A427" s="2"/>
    </row>
    <row r="428" spans="1:1">
      <c r="A428" s="2"/>
    </row>
    <row r="429" spans="1:1">
      <c r="A429" s="2"/>
    </row>
    <row r="430" spans="1:1">
      <c r="A430" s="2"/>
    </row>
    <row r="431" spans="1:1">
      <c r="A431" s="2"/>
    </row>
    <row r="432" spans="1:1">
      <c r="A432" s="2"/>
    </row>
    <row r="433" spans="1:1">
      <c r="A433" s="2"/>
    </row>
    <row r="434" spans="1:1">
      <c r="A434" s="2"/>
    </row>
    <row r="435" spans="1:1">
      <c r="A435" s="2"/>
    </row>
    <row r="436" spans="1:1">
      <c r="A436" s="2"/>
    </row>
    <row r="437" spans="1:1">
      <c r="A437" s="2"/>
    </row>
    <row r="438" spans="1:1">
      <c r="A438" s="2"/>
    </row>
    <row r="439" spans="1:1">
      <c r="A439" s="2"/>
    </row>
    <row r="440" spans="1:1">
      <c r="A440" s="2"/>
    </row>
    <row r="441" spans="1:1">
      <c r="A441" s="2"/>
    </row>
    <row r="442" spans="1:1">
      <c r="A442" s="2"/>
    </row>
    <row r="443" spans="1:1">
      <c r="A443" s="2"/>
    </row>
    <row r="444" spans="1:1">
      <c r="A444" s="2"/>
    </row>
    <row r="445" spans="1:1">
      <c r="A445" s="2"/>
    </row>
    <row r="446" spans="1:1">
      <c r="A446" s="2"/>
    </row>
    <row r="447" spans="1:1">
      <c r="A447" s="2"/>
    </row>
    <row r="448" spans="1:1">
      <c r="A448" s="2"/>
    </row>
    <row r="449" spans="1:1">
      <c r="A449" s="2"/>
    </row>
    <row r="450" spans="1:1">
      <c r="A450" s="2"/>
    </row>
    <row r="451" spans="1:1">
      <c r="A451" s="2"/>
    </row>
    <row r="452" spans="1:1">
      <c r="A452" s="2"/>
    </row>
    <row r="453" spans="1:1">
      <c r="A453" s="2"/>
    </row>
    <row r="454" spans="1:1">
      <c r="A454" s="2"/>
    </row>
    <row r="455" spans="1:1">
      <c r="A455" s="2"/>
    </row>
    <row r="456" spans="1:1">
      <c r="A456" s="2"/>
    </row>
    <row r="457" spans="1:1">
      <c r="A457" s="2"/>
    </row>
    <row r="458" spans="1:1">
      <c r="A458" s="2"/>
    </row>
    <row r="459" spans="1:1">
      <c r="A459" s="2"/>
    </row>
    <row r="460" spans="1:1">
      <c r="A460" s="2"/>
    </row>
    <row r="461" spans="1:1">
      <c r="A461" s="2"/>
    </row>
    <row r="462" spans="1:1">
      <c r="A462" s="2"/>
    </row>
    <row r="463" spans="1:1">
      <c r="A463" s="2"/>
    </row>
    <row r="464" spans="1:1">
      <c r="A464" s="2"/>
    </row>
    <row r="465" spans="1:1">
      <c r="A465" s="2"/>
    </row>
    <row r="466" spans="1:1">
      <c r="A466" s="2"/>
    </row>
    <row r="467" spans="1:1">
      <c r="A467" s="2"/>
    </row>
    <row r="468" spans="1:1">
      <c r="A468" s="2"/>
    </row>
    <row r="469" spans="1:1">
      <c r="A469" s="2"/>
    </row>
    <row r="470" spans="1:1">
      <c r="A470" s="2"/>
    </row>
    <row r="471" spans="1:1">
      <c r="A471" s="2"/>
    </row>
    <row r="472" spans="1:1">
      <c r="A472" s="2"/>
    </row>
    <row r="473" spans="1:1">
      <c r="A473" s="2"/>
    </row>
    <row r="474" spans="1:1">
      <c r="A474" s="2"/>
    </row>
    <row r="475" spans="1:1">
      <c r="A475" s="2"/>
    </row>
    <row r="476" spans="1:1">
      <c r="A476" s="2"/>
    </row>
    <row r="477" spans="1:1">
      <c r="A477" s="2"/>
    </row>
    <row r="478" spans="1:1">
      <c r="A478" s="2"/>
    </row>
    <row r="479" spans="1:1">
      <c r="A479" s="2"/>
    </row>
    <row r="480" spans="1:1">
      <c r="A480" s="2"/>
    </row>
    <row r="481" spans="1:1">
      <c r="A481" s="2"/>
    </row>
    <row r="482" spans="1:1">
      <c r="A482" s="2"/>
    </row>
    <row r="483" spans="1:1">
      <c r="A483" s="2"/>
    </row>
    <row r="484" spans="1:1">
      <c r="A484" s="2"/>
    </row>
    <row r="485" spans="1:1">
      <c r="A485" s="2"/>
    </row>
    <row r="486" spans="1:1">
      <c r="A486" s="2"/>
    </row>
    <row r="487" spans="1:1">
      <c r="A487" s="2"/>
    </row>
    <row r="488" spans="1:1">
      <c r="A488" s="2"/>
    </row>
    <row r="489" spans="1:1">
      <c r="A489" s="2"/>
    </row>
    <row r="490" spans="1:1">
      <c r="A490" s="2"/>
    </row>
    <row r="491" spans="1:1">
      <c r="A491" s="2"/>
    </row>
    <row r="492" spans="1:1">
      <c r="A492" s="2"/>
    </row>
    <row r="493" spans="1:1">
      <c r="A493" s="2"/>
    </row>
    <row r="494" spans="1:1">
      <c r="A494" s="2"/>
    </row>
    <row r="495" spans="1:1">
      <c r="A495" s="2"/>
    </row>
    <row r="496" spans="1:1">
      <c r="A496" s="2"/>
    </row>
    <row r="497" spans="1:1">
      <c r="A497" s="2"/>
    </row>
    <row r="498" spans="1:1">
      <c r="A498" s="2"/>
    </row>
    <row r="499" spans="1:1">
      <c r="A499" s="2"/>
    </row>
    <row r="500" spans="1:1">
      <c r="A500" s="2"/>
    </row>
    <row r="501" spans="1:1">
      <c r="A501" s="2"/>
    </row>
    <row r="502" spans="1:1">
      <c r="A502" s="2"/>
    </row>
    <row r="503" spans="1:1">
      <c r="A503" s="2"/>
    </row>
    <row r="504" spans="1:1">
      <c r="A504" s="2"/>
    </row>
    <row r="505" spans="1:1">
      <c r="A505" s="2"/>
    </row>
    <row r="506" spans="1:1">
      <c r="A506" s="2"/>
    </row>
    <row r="507" spans="1:1">
      <c r="A507" s="2"/>
    </row>
    <row r="508" spans="1:1">
      <c r="A508" s="2"/>
    </row>
    <row r="509" spans="1:1">
      <c r="A509" s="2"/>
    </row>
    <row r="510" spans="1:1">
      <c r="A510" s="2"/>
    </row>
    <row r="511" spans="1:1">
      <c r="A511" s="2"/>
    </row>
    <row r="512" spans="1:1">
      <c r="A512" s="2"/>
    </row>
    <row r="513" spans="1:1">
      <c r="A513" s="2"/>
    </row>
    <row r="514" spans="1:1">
      <c r="A514" s="2"/>
    </row>
    <row r="515" spans="1:1">
      <c r="A515" s="2"/>
    </row>
    <row r="516" spans="1:1">
      <c r="A516" s="2"/>
    </row>
    <row r="517" spans="1:1">
      <c r="A517" s="2"/>
    </row>
    <row r="518" spans="1:1">
      <c r="A518" s="2"/>
    </row>
    <row r="519" spans="1:1">
      <c r="A519" s="2"/>
    </row>
    <row r="520" spans="1:1">
      <c r="A520" s="2"/>
    </row>
    <row r="521" spans="1:1">
      <c r="A521" s="2"/>
    </row>
    <row r="522" spans="1:1">
      <c r="A522" s="2"/>
    </row>
    <row r="523" spans="1:1">
      <c r="A523" s="2"/>
    </row>
    <row r="524" spans="1:1">
      <c r="A524" s="2"/>
    </row>
    <row r="525" spans="1:1">
      <c r="A525" s="2"/>
    </row>
    <row r="526" spans="1:1">
      <c r="A526" s="2"/>
    </row>
    <row r="527" spans="1:1">
      <c r="A527" s="2"/>
    </row>
    <row r="528" spans="1:1">
      <c r="A528" s="2"/>
    </row>
    <row r="529" spans="1:1">
      <c r="A529" s="2"/>
    </row>
    <row r="530" spans="1:1">
      <c r="A530" s="2"/>
    </row>
    <row r="531" spans="1:1">
      <c r="A531" s="2"/>
    </row>
    <row r="532" spans="1:1">
      <c r="A532" s="2"/>
    </row>
    <row r="533" spans="1:1">
      <c r="A533" s="2"/>
    </row>
    <row r="534" spans="1:1">
      <c r="A534" s="2"/>
    </row>
    <row r="535" spans="1:1">
      <c r="A535" s="2"/>
    </row>
    <row r="536" spans="1:1">
      <c r="A536" s="2"/>
    </row>
    <row r="537" spans="1:1">
      <c r="A537" s="2"/>
    </row>
    <row r="538" spans="1:1">
      <c r="A538" s="2"/>
    </row>
    <row r="539" spans="1:1">
      <c r="A539" s="2"/>
    </row>
    <row r="540" spans="1:1">
      <c r="A540" s="2"/>
    </row>
    <row r="541" spans="1:1">
      <c r="A541" s="2"/>
    </row>
    <row r="542" spans="1:1">
      <c r="A542" s="2"/>
    </row>
    <row r="543" spans="1:1">
      <c r="A543" s="2"/>
    </row>
    <row r="544" spans="1:1">
      <c r="A544" s="2"/>
    </row>
    <row r="545" spans="1:1">
      <c r="A545" s="2"/>
    </row>
    <row r="546" spans="1:1">
      <c r="A546" s="2"/>
    </row>
    <row r="547" spans="1:1">
      <c r="A547" s="2"/>
    </row>
    <row r="548" spans="1:1">
      <c r="A548" s="2"/>
    </row>
    <row r="549" spans="1:1">
      <c r="A549" s="2"/>
    </row>
    <row r="550" spans="1:1">
      <c r="A550" s="2"/>
    </row>
    <row r="551" spans="1:1">
      <c r="A551" s="2"/>
    </row>
    <row r="552" spans="1:1">
      <c r="A552" s="2"/>
    </row>
    <row r="553" spans="1:1">
      <c r="A553" s="2"/>
    </row>
    <row r="554" spans="1:1">
      <c r="A554" s="2"/>
    </row>
    <row r="555" spans="1:1">
      <c r="A555" s="2"/>
    </row>
    <row r="556" spans="1:1">
      <c r="A556" s="2"/>
    </row>
    <row r="557" spans="1:1">
      <c r="A557" s="2"/>
    </row>
    <row r="558" spans="1:1">
      <c r="A558" s="2"/>
    </row>
    <row r="559" spans="1:1">
      <c r="A559" s="2"/>
    </row>
    <row r="560" spans="1:1">
      <c r="A560" s="2"/>
    </row>
    <row r="561" spans="1:1">
      <c r="A561" s="2"/>
    </row>
    <row r="562" spans="1:1">
      <c r="A562" s="2"/>
    </row>
    <row r="563" spans="1:1">
      <c r="A563" s="2"/>
    </row>
    <row r="564" spans="1:1">
      <c r="A564" s="2"/>
    </row>
    <row r="565" spans="1:1">
      <c r="A565" s="2"/>
    </row>
    <row r="566" spans="1:1">
      <c r="A566" s="2"/>
    </row>
    <row r="567" spans="1:1">
      <c r="A567" s="2"/>
    </row>
    <row r="568" spans="1:1">
      <c r="A568" s="2"/>
    </row>
    <row r="569" spans="1:1">
      <c r="A569" s="2"/>
    </row>
    <row r="570" spans="1:1">
      <c r="A570" s="2"/>
    </row>
    <row r="571" spans="1:1">
      <c r="A571" s="2"/>
    </row>
    <row r="572" spans="1:1">
      <c r="A572" s="2"/>
    </row>
    <row r="573" spans="1:1">
      <c r="A573" s="2"/>
    </row>
    <row r="574" spans="1:1">
      <c r="A574" s="2"/>
    </row>
    <row r="575" spans="1:1">
      <c r="A575" s="2"/>
    </row>
    <row r="576" spans="1:1">
      <c r="A576" s="2"/>
    </row>
    <row r="577" spans="1:1">
      <c r="A577" s="2"/>
    </row>
    <row r="578" spans="1:1">
      <c r="A578" s="2"/>
    </row>
    <row r="579" spans="1:1">
      <c r="A579" s="2"/>
    </row>
    <row r="580" spans="1:1">
      <c r="A580" s="2"/>
    </row>
    <row r="581" spans="1:1">
      <c r="A581" s="2"/>
    </row>
    <row r="582" spans="1:1">
      <c r="A582" s="2"/>
    </row>
    <row r="583" spans="1:1">
      <c r="A583" s="2"/>
    </row>
    <row r="584" spans="1:1">
      <c r="A584" s="2"/>
    </row>
    <row r="585" spans="1:1">
      <c r="A585" s="2"/>
    </row>
    <row r="586" spans="1:1">
      <c r="A586" s="2"/>
    </row>
    <row r="587" spans="1:1">
      <c r="A587" s="2"/>
    </row>
    <row r="588" spans="1:1">
      <c r="A588" s="2"/>
    </row>
    <row r="589" spans="1:1">
      <c r="A589" s="2"/>
    </row>
    <row r="590" spans="1:1">
      <c r="A590" s="2"/>
    </row>
    <row r="591" spans="1:1">
      <c r="A591" s="2"/>
    </row>
    <row r="592" spans="1:1">
      <c r="A592" s="2"/>
    </row>
    <row r="593" spans="1:1">
      <c r="A593" s="2"/>
    </row>
    <row r="594" spans="1:1">
      <c r="A594" s="2"/>
    </row>
    <row r="595" spans="1:1">
      <c r="A595" s="2"/>
    </row>
    <row r="596" spans="1:1">
      <c r="A596" s="2"/>
    </row>
    <row r="597" spans="1:1">
      <c r="A597" s="2"/>
    </row>
    <row r="598" spans="1:1">
      <c r="A598" s="2"/>
    </row>
    <row r="599" spans="1:1">
      <c r="A599" s="2"/>
    </row>
    <row r="600" spans="1:1">
      <c r="A600" s="2"/>
    </row>
    <row r="601" spans="1:1">
      <c r="A601" s="2"/>
    </row>
    <row r="602" spans="1:1">
      <c r="A602" s="2"/>
    </row>
    <row r="603" spans="1:1">
      <c r="A603" s="2"/>
    </row>
    <row r="604" spans="1:1">
      <c r="A604" s="2"/>
    </row>
    <row r="605" spans="1:1">
      <c r="A605" s="2"/>
    </row>
    <row r="606" spans="1:1">
      <c r="A606" s="2"/>
    </row>
    <row r="607" spans="1:1">
      <c r="A607" s="2"/>
    </row>
    <row r="608" spans="1:1">
      <c r="A608" s="2"/>
    </row>
    <row r="609" spans="1:1">
      <c r="A609" s="2"/>
    </row>
    <row r="610" spans="1:1">
      <c r="A610" s="2"/>
    </row>
    <row r="611" spans="1:1">
      <c r="A611" s="2"/>
    </row>
    <row r="612" spans="1:1">
      <c r="A612" s="2"/>
    </row>
    <row r="613" spans="1:1">
      <c r="A613" s="2"/>
    </row>
    <row r="614" spans="1:1">
      <c r="A614" s="2"/>
    </row>
    <row r="615" spans="1:1">
      <c r="A615" s="2"/>
    </row>
    <row r="616" spans="1:1">
      <c r="A616" s="2"/>
    </row>
    <row r="617" spans="1:1">
      <c r="A617" s="2"/>
    </row>
    <row r="618" spans="1:1">
      <c r="A618" s="2"/>
    </row>
    <row r="619" spans="1:1">
      <c r="A619" s="2"/>
    </row>
    <row r="620" spans="1:1">
      <c r="A620" s="2"/>
    </row>
    <row r="621" spans="1:1">
      <c r="A621" s="2"/>
    </row>
    <row r="622" spans="1:1">
      <c r="A622" s="2"/>
    </row>
    <row r="623" spans="1:1">
      <c r="A623" s="2"/>
    </row>
    <row r="624" spans="1:1">
      <c r="A624" s="2"/>
    </row>
    <row r="625" spans="1:1">
      <c r="A625" s="2"/>
    </row>
    <row r="626" spans="1:1">
      <c r="A626" s="2"/>
    </row>
    <row r="627" spans="1:1">
      <c r="A627" s="2"/>
    </row>
    <row r="628" spans="1:1">
      <c r="A628" s="2"/>
    </row>
    <row r="629" spans="1:1">
      <c r="A629" s="2"/>
    </row>
    <row r="630" spans="1:1">
      <c r="A630" s="2"/>
    </row>
    <row r="631" spans="1:1">
      <c r="A631" s="2"/>
    </row>
    <row r="632" spans="1:1">
      <c r="A632" s="2"/>
    </row>
    <row r="633" spans="1:1">
      <c r="A633" s="2"/>
    </row>
    <row r="634" spans="1:1">
      <c r="A634" s="2"/>
    </row>
    <row r="635" spans="1:1">
      <c r="A635" s="2"/>
    </row>
    <row r="636" spans="1:1">
      <c r="A636" s="2"/>
    </row>
    <row r="637" spans="1:1">
      <c r="A637" s="2"/>
    </row>
    <row r="638" spans="1:1">
      <c r="A638" s="2"/>
    </row>
    <row r="639" spans="1:1">
      <c r="A639" s="2"/>
    </row>
    <row r="640" spans="1:1">
      <c r="A640" s="2"/>
    </row>
    <row r="641" spans="1:1">
      <c r="A641" s="2"/>
    </row>
    <row r="642" spans="1:1">
      <c r="A642" s="2"/>
    </row>
    <row r="643" spans="1:1">
      <c r="A643" s="2"/>
    </row>
    <row r="644" spans="1:1">
      <c r="A644" s="2"/>
    </row>
    <row r="645" spans="1:1">
      <c r="A645" s="2"/>
    </row>
    <row r="646" spans="1:1">
      <c r="A646" s="2"/>
    </row>
    <row r="647" spans="1:1">
      <c r="A647" s="2"/>
    </row>
    <row r="648" spans="1:1">
      <c r="A648" s="2"/>
    </row>
    <row r="649" spans="1:1">
      <c r="A649" s="2"/>
    </row>
    <row r="650" spans="1:1">
      <c r="A650" s="2"/>
    </row>
    <row r="651" spans="1:1">
      <c r="A651" s="2"/>
    </row>
    <row r="652" spans="1:1">
      <c r="A652" s="2"/>
    </row>
    <row r="653" spans="1:1">
      <c r="A653" s="2"/>
    </row>
    <row r="654" spans="1:1">
      <c r="A654" s="2"/>
    </row>
    <row r="655" spans="1:1">
      <c r="A655" s="2"/>
    </row>
    <row r="656" spans="1:1">
      <c r="A656" s="2"/>
    </row>
    <row r="657" spans="1:1">
      <c r="A657" s="2"/>
    </row>
    <row r="658" spans="1:1">
      <c r="A658" s="2"/>
    </row>
    <row r="659" spans="1:1">
      <c r="A659" s="2"/>
    </row>
    <row r="660" spans="1:1">
      <c r="A660" s="2"/>
    </row>
    <row r="661" spans="1:1">
      <c r="A661" s="2"/>
    </row>
    <row r="662" spans="1:1">
      <c r="A662" s="2"/>
    </row>
    <row r="663" spans="1:1">
      <c r="A663" s="2"/>
    </row>
    <row r="664" spans="1:1">
      <c r="A664" s="2"/>
    </row>
    <row r="665" spans="1:1">
      <c r="A665" s="2"/>
    </row>
    <row r="666" spans="1:1">
      <c r="A666" s="2"/>
    </row>
    <row r="667" spans="1:1">
      <c r="A667" s="2"/>
    </row>
    <row r="668" spans="1:1">
      <c r="A668" s="2"/>
    </row>
    <row r="669" spans="1:1">
      <c r="A669" s="2"/>
    </row>
    <row r="670" spans="1:1">
      <c r="A670" s="2"/>
    </row>
    <row r="671" spans="1:1">
      <c r="A671" s="2"/>
    </row>
    <row r="672" spans="1:1">
      <c r="A672" s="2"/>
    </row>
    <row r="673" spans="1:1">
      <c r="A673" s="2"/>
    </row>
    <row r="674" spans="1:1">
      <c r="A674" s="2"/>
    </row>
    <row r="675" spans="1:1">
      <c r="A675" s="2"/>
    </row>
    <row r="676" spans="1:1">
      <c r="A676" s="2"/>
    </row>
    <row r="677" spans="1:1">
      <c r="A677" s="2"/>
    </row>
    <row r="678" spans="1:1">
      <c r="A678" s="2"/>
    </row>
    <row r="679" spans="1:1">
      <c r="A679" s="2"/>
    </row>
    <row r="680" spans="1:1">
      <c r="A680" s="2"/>
    </row>
    <row r="681" spans="1:1">
      <c r="A681" s="2"/>
    </row>
    <row r="682" spans="1:1">
      <c r="A682" s="2"/>
    </row>
    <row r="683" spans="1:1">
      <c r="A683" s="2"/>
    </row>
    <row r="684" spans="1:1">
      <c r="A684" s="2"/>
    </row>
    <row r="685" spans="1:1">
      <c r="A685" s="2"/>
    </row>
    <row r="686" spans="1:1">
      <c r="A686" s="2"/>
    </row>
    <row r="687" spans="1:1">
      <c r="A687" s="2"/>
    </row>
    <row r="688" spans="1:1">
      <c r="A688" s="2"/>
    </row>
    <row r="689" spans="1:1">
      <c r="A689" s="2"/>
    </row>
    <row r="690" spans="1:1">
      <c r="A690" s="2"/>
    </row>
    <row r="691" spans="1:1">
      <c r="A691" s="2"/>
    </row>
    <row r="692" spans="1:1">
      <c r="A692" s="2"/>
    </row>
    <row r="693" spans="1:1">
      <c r="A693" s="2"/>
    </row>
    <row r="694" spans="1:1">
      <c r="A694" s="2"/>
    </row>
    <row r="695" spans="1:1">
      <c r="A695" s="2"/>
    </row>
    <row r="696" spans="1:1">
      <c r="A696" s="2"/>
    </row>
    <row r="697" spans="1:1">
      <c r="A697" s="2"/>
    </row>
    <row r="698" spans="1:1">
      <c r="A698" s="2"/>
    </row>
    <row r="699" spans="1:1">
      <c r="A699" s="2"/>
    </row>
    <row r="700" spans="1:1">
      <c r="A700" s="2"/>
    </row>
    <row r="701" spans="1:1">
      <c r="A701" s="2"/>
    </row>
    <row r="702" spans="1:1">
      <c r="A702" s="2"/>
    </row>
    <row r="703" spans="1:1">
      <c r="A703" s="2"/>
    </row>
    <row r="704" spans="1:1">
      <c r="A704" s="2"/>
    </row>
    <row r="705" spans="1:1">
      <c r="A705" s="2"/>
    </row>
    <row r="706" spans="1:1">
      <c r="A706" s="2"/>
    </row>
    <row r="707" spans="1:1">
      <c r="A707" s="2"/>
    </row>
    <row r="708" spans="1:1">
      <c r="A708" s="2"/>
    </row>
    <row r="709" spans="1:1">
      <c r="A709" s="2"/>
    </row>
    <row r="710" spans="1:1">
      <c r="A710" s="2"/>
    </row>
    <row r="711" spans="1:1">
      <c r="A711" s="2"/>
    </row>
    <row r="712" spans="1:1">
      <c r="A712" s="2"/>
    </row>
    <row r="713" spans="1:1">
      <c r="A713" s="2"/>
    </row>
    <row r="714" spans="1:1">
      <c r="A714" s="2"/>
    </row>
    <row r="715" spans="1:1">
      <c r="A715" s="2"/>
    </row>
    <row r="716" spans="1:1">
      <c r="A716" s="2"/>
    </row>
    <row r="717" spans="1:1">
      <c r="A717" s="2"/>
    </row>
    <row r="718" spans="1:1">
      <c r="A718" s="2"/>
    </row>
    <row r="719" spans="1:1">
      <c r="A719" s="2"/>
    </row>
    <row r="720" spans="1:1">
      <c r="A720" s="2"/>
    </row>
    <row r="721" spans="1:1">
      <c r="A721" s="2"/>
    </row>
    <row r="722" spans="1:1">
      <c r="A722" s="2"/>
    </row>
    <row r="723" spans="1:1">
      <c r="A723" s="2"/>
    </row>
    <row r="724" spans="1:1">
      <c r="A724" s="2"/>
    </row>
    <row r="725" spans="1:1">
      <c r="A725" s="2"/>
    </row>
    <row r="726" spans="1:1">
      <c r="A726" s="2"/>
    </row>
    <row r="727" spans="1:1">
      <c r="A727" s="2"/>
    </row>
    <row r="728" spans="1:1">
      <c r="A728" s="2"/>
    </row>
    <row r="729" spans="1:1">
      <c r="A729" s="2"/>
    </row>
    <row r="730" spans="1:1">
      <c r="A730" s="2"/>
    </row>
    <row r="731" spans="1:1">
      <c r="A731" s="2"/>
    </row>
    <row r="732" spans="1:1">
      <c r="A732" s="2"/>
    </row>
    <row r="733" spans="1:1">
      <c r="A733" s="2"/>
    </row>
    <row r="734" spans="1:1">
      <c r="A734" s="2"/>
    </row>
    <row r="735" spans="1:1">
      <c r="A735" s="2"/>
    </row>
    <row r="736" spans="1:1">
      <c r="A736" s="2"/>
    </row>
    <row r="737" spans="1:1">
      <c r="A737" s="2"/>
    </row>
    <row r="738" spans="1:1">
      <c r="A738" s="2"/>
    </row>
    <row r="739" spans="1:1">
      <c r="A739" s="2"/>
    </row>
    <row r="740" spans="1:1">
      <c r="A740" s="2"/>
    </row>
    <row r="741" spans="1:1">
      <c r="A741" s="2"/>
    </row>
    <row r="742" spans="1:1">
      <c r="A742" s="2"/>
    </row>
    <row r="743" spans="1:1">
      <c r="A743" s="2"/>
    </row>
    <row r="744" spans="1:1">
      <c r="A744" s="2"/>
    </row>
    <row r="745" spans="1:1">
      <c r="A745" s="2"/>
    </row>
    <row r="746" spans="1:1">
      <c r="A746" s="2"/>
    </row>
    <row r="747" spans="1:1">
      <c r="A747" s="2"/>
    </row>
    <row r="748" spans="1:1">
      <c r="A748" s="2"/>
    </row>
    <row r="749" spans="1:1">
      <c r="A749" s="2"/>
    </row>
    <row r="750" spans="1:1">
      <c r="A750" s="2"/>
    </row>
    <row r="751" spans="1:1">
      <c r="A751" s="2"/>
    </row>
    <row r="752" spans="1:1">
      <c r="A752" s="2"/>
    </row>
    <row r="753" spans="1:1">
      <c r="A753" s="2"/>
    </row>
    <row r="754" spans="1:1">
      <c r="A754" s="2"/>
    </row>
    <row r="755" spans="1:1">
      <c r="A755" s="2"/>
    </row>
    <row r="756" spans="1:1">
      <c r="A756" s="2"/>
    </row>
    <row r="757" spans="1:1">
      <c r="A757" s="2"/>
    </row>
    <row r="758" spans="1:1">
      <c r="A758" s="2"/>
    </row>
    <row r="759" spans="1:1">
      <c r="A759" s="2"/>
    </row>
    <row r="760" spans="1:1">
      <c r="A760" s="2"/>
    </row>
    <row r="761" spans="1:1">
      <c r="A761" s="2"/>
    </row>
    <row r="762" spans="1:1">
      <c r="A762" s="2"/>
    </row>
    <row r="763" spans="1:1">
      <c r="A763" s="2"/>
    </row>
    <row r="764" spans="1:1">
      <c r="A764" s="2"/>
    </row>
    <row r="765" spans="1:1">
      <c r="A765" s="2"/>
    </row>
    <row r="766" spans="1:1">
      <c r="A766" s="2"/>
    </row>
    <row r="767" spans="1:1">
      <c r="A767" s="2"/>
    </row>
    <row r="768" spans="1:1">
      <c r="A768" s="2"/>
    </row>
    <row r="769" spans="1:1">
      <c r="A769" s="2"/>
    </row>
    <row r="770" spans="1:1">
      <c r="A770" s="2"/>
    </row>
    <row r="771" spans="1:1">
      <c r="A771" s="2"/>
    </row>
    <row r="772" spans="1:1">
      <c r="A772" s="2"/>
    </row>
    <row r="773" spans="1:1">
      <c r="A773" s="2"/>
    </row>
    <row r="774" spans="1:1">
      <c r="A774" s="2"/>
    </row>
    <row r="775" spans="1:1">
      <c r="A775" s="2"/>
    </row>
    <row r="776" spans="1:1">
      <c r="A776" s="2"/>
    </row>
    <row r="777" spans="1:1">
      <c r="A777" s="2"/>
    </row>
    <row r="778" spans="1:1">
      <c r="A778" s="2"/>
    </row>
    <row r="779" spans="1:1">
      <c r="A779" s="2"/>
    </row>
    <row r="780" spans="1:1">
      <c r="A780" s="2"/>
    </row>
    <row r="781" spans="1:1">
      <c r="A781" s="2"/>
    </row>
    <row r="782" spans="1:1">
      <c r="A782" s="2"/>
    </row>
    <row r="783" spans="1:1">
      <c r="A783" s="2"/>
    </row>
    <row r="784" spans="1:1">
      <c r="A784" s="2"/>
    </row>
    <row r="785" spans="1:1">
      <c r="A785" s="2"/>
    </row>
    <row r="786" spans="1:1">
      <c r="A786" s="2"/>
    </row>
    <row r="787" spans="1:1">
      <c r="A787" s="2"/>
    </row>
    <row r="788" spans="1:1">
      <c r="A788" s="2"/>
    </row>
    <row r="789" spans="1:1">
      <c r="A789" s="2"/>
    </row>
    <row r="790" spans="1:1">
      <c r="A790" s="2"/>
    </row>
    <row r="791" spans="1:1">
      <c r="A791" s="2"/>
    </row>
    <row r="792" spans="1:1">
      <c r="A792" s="2"/>
    </row>
    <row r="793" spans="1:1">
      <c r="A793" s="2"/>
    </row>
    <row r="794" spans="1:1">
      <c r="A794" s="2"/>
    </row>
    <row r="795" spans="1:1">
      <c r="A795" s="2"/>
    </row>
    <row r="796" spans="1:1">
      <c r="A796" s="2"/>
    </row>
    <row r="797" spans="1:1">
      <c r="A797" s="2"/>
    </row>
    <row r="798" spans="1:1">
      <c r="A798" s="2"/>
    </row>
    <row r="799" spans="1:1">
      <c r="A799" s="2"/>
    </row>
    <row r="800" spans="1:1">
      <c r="A800" s="2"/>
    </row>
    <row r="801" spans="1:1">
      <c r="A801" s="2"/>
    </row>
    <row r="802" spans="1:1">
      <c r="A802" s="2"/>
    </row>
    <row r="803" spans="1:1">
      <c r="A803" s="2"/>
    </row>
    <row r="804" spans="1:1">
      <c r="A804" s="2"/>
    </row>
    <row r="805" spans="1:1">
      <c r="A805" s="2"/>
    </row>
    <row r="806" spans="1:1">
      <c r="A806" s="2"/>
    </row>
    <row r="807" spans="1:1">
      <c r="A807" s="2"/>
    </row>
    <row r="808" spans="1:1">
      <c r="A808" s="2"/>
    </row>
    <row r="809" spans="1:1">
      <c r="A809" s="2"/>
    </row>
    <row r="810" spans="1:1">
      <c r="A810" s="2"/>
    </row>
    <row r="811" spans="1:1">
      <c r="A811" s="2"/>
    </row>
    <row r="812" spans="1:1">
      <c r="A812" s="2"/>
    </row>
    <row r="813" spans="1:1">
      <c r="A813" s="2"/>
    </row>
    <row r="814" spans="1:1">
      <c r="A814" s="2"/>
    </row>
    <row r="815" spans="1:1">
      <c r="A815" s="2"/>
    </row>
    <row r="816" spans="1:1">
      <c r="A816" s="2"/>
    </row>
    <row r="817" spans="1:1">
      <c r="A817" s="2"/>
    </row>
    <row r="818" spans="1:1">
      <c r="A818" s="2"/>
    </row>
    <row r="819" spans="1:1">
      <c r="A819" s="2"/>
    </row>
    <row r="820" spans="1:1">
      <c r="A820" s="2"/>
    </row>
    <row r="821" spans="1:1">
      <c r="A821" s="2"/>
    </row>
    <row r="822" spans="1:1">
      <c r="A822" s="2"/>
    </row>
    <row r="823" spans="1:1">
      <c r="A823" s="2"/>
    </row>
    <row r="824" spans="1:1">
      <c r="A824" s="2"/>
    </row>
    <row r="825" spans="1:1">
      <c r="A825" s="2"/>
    </row>
    <row r="826" spans="1:1">
      <c r="A826" s="2"/>
    </row>
    <row r="827" spans="1:1">
      <c r="A827" s="2"/>
    </row>
    <row r="828" spans="1:1">
      <c r="A828" s="2"/>
    </row>
    <row r="829" spans="1:1">
      <c r="A829" s="2"/>
    </row>
    <row r="830" spans="1:1">
      <c r="A830" s="2"/>
    </row>
    <row r="831" spans="1:1">
      <c r="A831" s="2"/>
    </row>
    <row r="832" spans="1:1">
      <c r="A832" s="2"/>
    </row>
    <row r="833" spans="1:1">
      <c r="A833" s="2"/>
    </row>
    <row r="834" spans="1:1">
      <c r="A834" s="2"/>
    </row>
    <row r="835" spans="1:1">
      <c r="A835" s="2"/>
    </row>
    <row r="836" spans="1:1">
      <c r="A836" s="2"/>
    </row>
    <row r="837" spans="1:1">
      <c r="A837" s="2"/>
    </row>
    <row r="838" spans="1:1">
      <c r="A838" s="2"/>
    </row>
    <row r="839" spans="1:1">
      <c r="A839" s="2"/>
    </row>
    <row r="840" spans="1:1">
      <c r="A840" s="2"/>
    </row>
    <row r="841" spans="1:1">
      <c r="A841" s="2"/>
    </row>
    <row r="842" spans="1:1">
      <c r="A842" s="2"/>
    </row>
    <row r="843" spans="1:1">
      <c r="A843" s="2"/>
    </row>
    <row r="844" spans="1:1">
      <c r="A844" s="2"/>
    </row>
    <row r="845" spans="1:1">
      <c r="A845" s="2"/>
    </row>
    <row r="846" spans="1:1">
      <c r="A846" s="2"/>
    </row>
    <row r="847" spans="1:1">
      <c r="A847" s="2"/>
    </row>
    <row r="848" spans="1:1">
      <c r="A848" s="2"/>
    </row>
    <row r="849" spans="1:1">
      <c r="A849" s="2"/>
    </row>
    <row r="850" spans="1:1">
      <c r="A850" s="2"/>
    </row>
    <row r="851" spans="1:1">
      <c r="A851" s="2"/>
    </row>
    <row r="852" spans="1:1">
      <c r="A852" s="2"/>
    </row>
    <row r="853" spans="1:1">
      <c r="A853" s="2"/>
    </row>
    <row r="854" spans="1:1">
      <c r="A854" s="2"/>
    </row>
    <row r="855" spans="1:1">
      <c r="A855" s="2"/>
    </row>
    <row r="856" spans="1:1">
      <c r="A856" s="2"/>
    </row>
    <row r="857" spans="1:1">
      <c r="A857" s="2"/>
    </row>
    <row r="858" spans="1:1">
      <c r="A858" s="2"/>
    </row>
    <row r="859" spans="1:1">
      <c r="A859" s="2"/>
    </row>
    <row r="860" spans="1:1">
      <c r="A860" s="2"/>
    </row>
    <row r="861" spans="1:1">
      <c r="A861" s="2"/>
    </row>
    <row r="862" spans="1:1">
      <c r="A862" s="2"/>
    </row>
    <row r="863" spans="1:1">
      <c r="A863" s="2"/>
    </row>
    <row r="864" spans="1:1">
      <c r="A864" s="2"/>
    </row>
    <row r="865" spans="1:1">
      <c r="A865" s="2"/>
    </row>
    <row r="866" spans="1:1">
      <c r="A866" s="2"/>
    </row>
    <row r="867" spans="1:1">
      <c r="A867" s="2"/>
    </row>
    <row r="868" spans="1:1">
      <c r="A868" s="2"/>
    </row>
    <row r="869" spans="1:1">
      <c r="A869" s="2"/>
    </row>
    <row r="870" spans="1:1">
      <c r="A870" s="2"/>
    </row>
    <row r="871" spans="1:1">
      <c r="A871" s="2"/>
    </row>
    <row r="872" spans="1:1">
      <c r="A872" s="2"/>
    </row>
    <row r="873" spans="1:1">
      <c r="A873" s="2"/>
    </row>
    <row r="874" spans="1:1">
      <c r="A874" s="2"/>
    </row>
    <row r="875" spans="1:1">
      <c r="A875" s="2"/>
    </row>
    <row r="876" spans="1:1">
      <c r="A876" s="2"/>
    </row>
    <row r="877" spans="1:1">
      <c r="A877" s="2"/>
    </row>
    <row r="878" spans="1:1">
      <c r="A878" s="2"/>
    </row>
    <row r="879" spans="1:1">
      <c r="A879" s="2"/>
    </row>
    <row r="880" spans="1:1">
      <c r="A880" s="2"/>
    </row>
    <row r="881" spans="1:1">
      <c r="A881" s="2"/>
    </row>
    <row r="882" spans="1:1">
      <c r="A882" s="2"/>
    </row>
    <row r="883" spans="1:1">
      <c r="A883" s="2"/>
    </row>
    <row r="884" spans="1:1">
      <c r="A884" s="2"/>
    </row>
    <row r="885" spans="1:1">
      <c r="A885" s="2"/>
    </row>
    <row r="886" spans="1:1">
      <c r="A886" s="2"/>
    </row>
    <row r="887" spans="1:1">
      <c r="A887" s="2"/>
    </row>
    <row r="888" spans="1:1">
      <c r="A888" s="2"/>
    </row>
    <row r="889" spans="1:1">
      <c r="A889" s="2"/>
    </row>
    <row r="890" spans="1:1">
      <c r="A890" s="2"/>
    </row>
    <row r="891" spans="1:1">
      <c r="A891" s="2"/>
    </row>
    <row r="892" spans="1:1">
      <c r="A892" s="2"/>
    </row>
    <row r="893" spans="1:1">
      <c r="A893" s="2"/>
    </row>
    <row r="894" spans="1:1">
      <c r="A894" s="2"/>
    </row>
    <row r="895" spans="1:1">
      <c r="A895" s="2"/>
    </row>
    <row r="896" spans="1:1">
      <c r="A896" s="2"/>
    </row>
    <row r="897" spans="1:1">
      <c r="A897" s="2"/>
    </row>
    <row r="898" spans="1:1">
      <c r="A898" s="2"/>
    </row>
    <row r="899" spans="1:1">
      <c r="A899" s="2"/>
    </row>
    <row r="900" spans="1:1">
      <c r="A900" s="2"/>
    </row>
    <row r="901" spans="1:1">
      <c r="A901" s="2"/>
    </row>
    <row r="902" spans="1:1">
      <c r="A902" s="2"/>
    </row>
    <row r="903" spans="1:1">
      <c r="A903" s="2"/>
    </row>
    <row r="904" spans="1:1">
      <c r="A904" s="2"/>
    </row>
    <row r="905" spans="1:1">
      <c r="A905" s="2"/>
    </row>
    <row r="906" spans="1:1">
      <c r="A906" s="2"/>
    </row>
    <row r="907" spans="1:1">
      <c r="A907" s="2"/>
    </row>
    <row r="908" spans="1:1">
      <c r="A908" s="2"/>
    </row>
    <row r="909" spans="1:1">
      <c r="A909" s="2"/>
    </row>
    <row r="910" spans="1:1">
      <c r="A910" s="2"/>
    </row>
    <row r="911" spans="1:1">
      <c r="A911" s="2"/>
    </row>
    <row r="912" spans="1:1">
      <c r="A912" s="2"/>
    </row>
    <row r="913" spans="1:1">
      <c r="A913" s="2"/>
    </row>
    <row r="914" spans="1:1">
      <c r="A914" s="2"/>
    </row>
    <row r="915" spans="1:1">
      <c r="A915" s="2"/>
    </row>
    <row r="916" spans="1:1">
      <c r="A916" s="2"/>
    </row>
    <row r="917" spans="1:1">
      <c r="A917" s="2"/>
    </row>
    <row r="918" spans="1:1">
      <c r="A918" s="2"/>
    </row>
    <row r="919" spans="1:1">
      <c r="A919" s="2"/>
    </row>
    <row r="920" spans="1:1">
      <c r="A920" s="2"/>
    </row>
    <row r="921" spans="1:1">
      <c r="A921" s="2"/>
    </row>
    <row r="922" spans="1:1">
      <c r="A922" s="2"/>
    </row>
    <row r="923" spans="1:1">
      <c r="A923" s="2"/>
    </row>
    <row r="924" spans="1:1">
      <c r="A924" s="2"/>
    </row>
    <row r="925" spans="1:1">
      <c r="A925" s="2"/>
    </row>
    <row r="926" spans="1:1">
      <c r="A926" s="2"/>
    </row>
    <row r="927" spans="1:1">
      <c r="A927" s="2"/>
    </row>
    <row r="928" spans="1:1">
      <c r="A928" s="2"/>
    </row>
    <row r="929" spans="1:1">
      <c r="A929" s="2"/>
    </row>
    <row r="930" spans="1:1">
      <c r="A930" s="2"/>
    </row>
    <row r="931" spans="1:1">
      <c r="A931" s="2"/>
    </row>
    <row r="932" spans="1:1">
      <c r="A932" s="2"/>
    </row>
    <row r="933" spans="1:1">
      <c r="A933" s="2"/>
    </row>
    <row r="934" spans="1:1">
      <c r="A934" s="2"/>
    </row>
    <row r="935" spans="1:1">
      <c r="A935" s="2"/>
    </row>
    <row r="936" spans="1:1">
      <c r="A936" s="2"/>
    </row>
    <row r="937" spans="1:1">
      <c r="A937" s="2"/>
    </row>
    <row r="938" spans="1:1">
      <c r="A938" s="2"/>
    </row>
    <row r="939" spans="1:1">
      <c r="A939" s="2"/>
    </row>
    <row r="940" spans="1:1">
      <c r="A940" s="2"/>
    </row>
    <row r="941" spans="1:1">
      <c r="A941" s="2"/>
    </row>
    <row r="942" spans="1:1">
      <c r="A942" s="2"/>
    </row>
    <row r="943" spans="1:1">
      <c r="A943" s="2"/>
    </row>
    <row r="944" spans="1:1">
      <c r="A944" s="2"/>
    </row>
    <row r="945" spans="1:1">
      <c r="A945" s="2"/>
    </row>
    <row r="946" spans="1:1">
      <c r="A946" s="2"/>
    </row>
    <row r="947" spans="1:1">
      <c r="A947" s="2"/>
    </row>
    <row r="948" spans="1:1">
      <c r="A948" s="2"/>
    </row>
    <row r="949" spans="1:1">
      <c r="A949" s="2"/>
    </row>
    <row r="950" spans="1:1">
      <c r="A950" s="2"/>
    </row>
    <row r="951" spans="1:1">
      <c r="A951" s="2"/>
    </row>
    <row r="952" spans="1:1">
      <c r="A952" s="2"/>
    </row>
    <row r="953" spans="1:1">
      <c r="A953" s="2"/>
    </row>
    <row r="954" spans="1:1">
      <c r="A954" s="2"/>
    </row>
    <row r="955" spans="1:1">
      <c r="A955" s="2"/>
    </row>
    <row r="956" spans="1:1">
      <c r="A956" s="2"/>
    </row>
    <row r="957" spans="1:1">
      <c r="A957" s="2"/>
    </row>
    <row r="958" spans="1:1">
      <c r="A958" s="2"/>
    </row>
    <row r="959" spans="1:1">
      <c r="A959" s="2"/>
    </row>
    <row r="960" spans="1:1">
      <c r="A960" s="2"/>
    </row>
    <row r="961" spans="1:1">
      <c r="A961" s="2"/>
    </row>
    <row r="962" spans="1:1">
      <c r="A962" s="2"/>
    </row>
    <row r="963" spans="1:1">
      <c r="A963" s="2"/>
    </row>
    <row r="964" spans="1:1">
      <c r="A964" s="2"/>
    </row>
    <row r="965" spans="1:1">
      <c r="A965" s="2"/>
    </row>
    <row r="966" spans="1:1">
      <c r="A966" s="2"/>
    </row>
    <row r="967" spans="1:1">
      <c r="A967" s="2"/>
    </row>
    <row r="968" spans="1:1">
      <c r="A968" s="2"/>
    </row>
    <row r="969" spans="1:1">
      <c r="A969" s="2"/>
    </row>
    <row r="970" spans="1:1">
      <c r="A970" s="2"/>
    </row>
    <row r="971" spans="1:1">
      <c r="A971" s="2"/>
    </row>
    <row r="972" spans="1:1">
      <c r="A972" s="2"/>
    </row>
    <row r="973" spans="1:1">
      <c r="A973" s="2"/>
    </row>
    <row r="974" spans="1:1">
      <c r="A974" s="2"/>
    </row>
    <row r="975" spans="1:1">
      <c r="A975" s="2"/>
    </row>
    <row r="976" spans="1:1">
      <c r="A976" s="2"/>
    </row>
    <row r="977" spans="1:1">
      <c r="A977" s="2"/>
    </row>
    <row r="978" spans="1:1">
      <c r="A978" s="2"/>
    </row>
    <row r="979" spans="1:1">
      <c r="A979" s="2"/>
    </row>
    <row r="980" spans="1:1">
      <c r="A980" s="2"/>
    </row>
    <row r="981" spans="1:1">
      <c r="A981" s="2"/>
    </row>
    <row r="982" spans="1:1">
      <c r="A982" s="2"/>
    </row>
    <row r="983" spans="1:1">
      <c r="A983" s="2"/>
    </row>
    <row r="984" spans="1:1">
      <c r="A984" s="2"/>
    </row>
    <row r="985" spans="1:1">
      <c r="A985" s="2"/>
    </row>
  </sheetData>
  <mergeCells count="11">
    <mergeCell ref="B11:K11"/>
    <mergeCell ref="B151:K151"/>
    <mergeCell ref="I28:J28"/>
    <mergeCell ref="I29:J29"/>
    <mergeCell ref="I30:J30"/>
    <mergeCell ref="G29:H29"/>
    <mergeCell ref="G30:H30"/>
    <mergeCell ref="G28:H28"/>
    <mergeCell ref="C75:K75"/>
    <mergeCell ref="C72:K72"/>
    <mergeCell ref="C86:K86"/>
  </mergeCells>
  <phoneticPr fontId="2" type="noConversion"/>
  <conditionalFormatting sqref="E217:F217">
    <cfRule type="expression" priority="1" stopIfTrue="1">
      <formula>DAYS360(E214,E215,0)/360</formula>
    </cfRule>
  </conditionalFormatting>
  <printOptions horizontalCentered="1"/>
  <pageMargins left="0.25" right="0.25" top="0.5" bottom="0.5" header="0" footer="0"/>
  <pageSetup orientation="portrait" verticalDpi="300" r:id="rId1"/>
  <headerFooter alignWithMargins="0"/>
  <ignoredErrors>
    <ignoredError sqref="H29"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55151-407A-45C4-AC1D-B93308CD09DE}">
  <dimension ref="A1:L52"/>
  <sheetViews>
    <sheetView topLeftCell="A58" workbookViewId="0">
      <selection activeCell="F34" sqref="F34"/>
    </sheetView>
  </sheetViews>
  <sheetFormatPr defaultRowHeight="12"/>
  <sheetData>
    <row r="1" spans="1:12">
      <c r="A1" s="109"/>
      <c r="B1" s="110"/>
      <c r="C1" s="110"/>
      <c r="D1" s="110"/>
      <c r="E1" s="110"/>
      <c r="F1" s="110"/>
      <c r="G1" s="110"/>
      <c r="H1" s="110"/>
      <c r="I1" s="110"/>
      <c r="J1" s="110"/>
      <c r="K1" s="110"/>
      <c r="L1" s="111"/>
    </row>
    <row r="2" spans="1:12">
      <c r="A2" s="112"/>
      <c r="B2" s="113"/>
      <c r="C2" s="113"/>
      <c r="D2" s="113"/>
      <c r="E2" s="113"/>
      <c r="F2" s="113"/>
      <c r="G2" s="113"/>
      <c r="H2" s="113"/>
      <c r="I2" s="113"/>
      <c r="J2" s="113"/>
      <c r="K2" s="113"/>
      <c r="L2" s="114"/>
    </row>
    <row r="3" spans="1:12" ht="18.75">
      <c r="A3" s="112"/>
      <c r="B3" s="2"/>
      <c r="C3" s="2"/>
      <c r="D3" s="2"/>
      <c r="E3" s="2"/>
      <c r="F3" s="2"/>
      <c r="G3" s="81" t="s">
        <v>216</v>
      </c>
      <c r="H3" s="2"/>
      <c r="I3" s="2"/>
      <c r="J3" s="113"/>
      <c r="K3" s="113"/>
      <c r="L3" s="114"/>
    </row>
    <row r="4" spans="1:12" ht="12.75">
      <c r="A4" s="112"/>
      <c r="B4" s="2"/>
      <c r="C4" s="2"/>
      <c r="D4" s="2"/>
      <c r="E4" s="2"/>
      <c r="F4" s="2"/>
      <c r="G4" s="2"/>
      <c r="H4" s="2"/>
      <c r="I4" s="2"/>
      <c r="J4" s="113"/>
      <c r="K4" s="113"/>
      <c r="L4" s="114"/>
    </row>
    <row r="5" spans="1:12" ht="12.75">
      <c r="A5" s="112"/>
      <c r="B5" s="2"/>
      <c r="C5" s="2"/>
      <c r="D5" s="2"/>
      <c r="E5" s="2"/>
      <c r="F5" s="2"/>
      <c r="G5" s="2"/>
      <c r="H5" s="2"/>
      <c r="I5" s="2"/>
      <c r="J5" s="113"/>
      <c r="K5" s="113"/>
      <c r="L5" s="114"/>
    </row>
    <row r="6" spans="1:12" ht="12.75">
      <c r="A6" s="112"/>
      <c r="B6" s="2"/>
      <c r="C6" s="2"/>
      <c r="D6" s="2"/>
      <c r="E6" s="2"/>
      <c r="F6" s="2"/>
      <c r="G6" s="2"/>
      <c r="H6" s="2"/>
      <c r="I6" s="2"/>
      <c r="J6" s="113"/>
      <c r="K6" s="113"/>
      <c r="L6" s="114"/>
    </row>
    <row r="7" spans="1:12" ht="15.75">
      <c r="A7" s="112"/>
      <c r="B7" s="67" t="s">
        <v>217</v>
      </c>
      <c r="C7" s="69"/>
      <c r="D7" s="68"/>
      <c r="E7" s="2"/>
      <c r="F7" s="68" t="str">
        <f>Sheet1!G13</f>
        <v>The Oriental Insurance Co. Ltd.</v>
      </c>
      <c r="G7" s="68"/>
      <c r="H7" s="2"/>
      <c r="I7" s="2"/>
      <c r="J7" s="113"/>
      <c r="K7" s="113"/>
      <c r="L7" s="114"/>
    </row>
    <row r="8" spans="1:12" ht="15.75">
      <c r="A8" s="112"/>
      <c r="B8" s="67" t="s">
        <v>18</v>
      </c>
      <c r="C8" s="69"/>
      <c r="D8" s="68"/>
      <c r="E8" s="2"/>
      <c r="F8" s="68" t="str">
        <f>Sheet1!G14</f>
        <v>BO: SCO-52, Sector-42C, Chandigarh</v>
      </c>
      <c r="G8" s="68"/>
      <c r="H8" s="2"/>
      <c r="I8" s="2"/>
      <c r="J8" s="113"/>
      <c r="K8" s="113"/>
      <c r="L8" s="114"/>
    </row>
    <row r="9" spans="1:12" ht="15.75">
      <c r="A9" s="112"/>
      <c r="B9" s="68"/>
      <c r="C9" s="69"/>
      <c r="D9" s="68"/>
      <c r="E9" s="2"/>
      <c r="F9" s="107" t="str">
        <f>Sheet1!G15</f>
        <v>Case allotted by The Oriental Ins. Co. Ltd., RO: SVC, Sector-17, Chd.</v>
      </c>
      <c r="G9" s="68"/>
      <c r="H9" s="2"/>
      <c r="I9" s="2"/>
      <c r="J9" s="113"/>
      <c r="K9" s="113"/>
      <c r="L9" s="114"/>
    </row>
    <row r="10" spans="1:12" ht="15.75">
      <c r="A10" s="112"/>
      <c r="B10" s="67"/>
      <c r="C10" s="69"/>
      <c r="D10" s="68"/>
      <c r="E10" s="2"/>
      <c r="F10" s="68"/>
      <c r="G10" s="68"/>
      <c r="H10" s="2"/>
      <c r="I10" s="2"/>
      <c r="J10" s="113"/>
      <c r="K10" s="113"/>
      <c r="L10" s="114"/>
    </row>
    <row r="11" spans="1:12" ht="15.75">
      <c r="A11" s="112"/>
      <c r="B11" s="67"/>
      <c r="C11" s="69"/>
      <c r="D11" s="68"/>
      <c r="E11" s="2"/>
      <c r="F11" s="68"/>
      <c r="G11" s="68"/>
      <c r="H11" s="2"/>
      <c r="I11" s="2"/>
      <c r="J11" s="113"/>
      <c r="K11" s="113"/>
      <c r="L11" s="114"/>
    </row>
    <row r="12" spans="1:12" ht="15.75">
      <c r="A12" s="112"/>
      <c r="B12" s="67" t="s">
        <v>28</v>
      </c>
      <c r="C12" s="69"/>
      <c r="D12" s="68"/>
      <c r="E12" s="2"/>
      <c r="F12" s="68" t="str">
        <f>Sheet1!G18</f>
        <v>Mr JAGDEEP KUMAR</v>
      </c>
      <c r="G12" s="68"/>
      <c r="H12" s="2"/>
      <c r="I12" s="2"/>
      <c r="J12" s="113"/>
      <c r="K12" s="113"/>
      <c r="L12" s="114"/>
    </row>
    <row r="13" spans="1:12" ht="15.75">
      <c r="A13" s="112"/>
      <c r="B13" s="67"/>
      <c r="C13" s="69"/>
      <c r="D13" s="68"/>
      <c r="E13" s="2"/>
      <c r="F13" s="68"/>
      <c r="G13" s="68"/>
      <c r="H13" s="2"/>
      <c r="I13" s="2"/>
      <c r="J13" s="113"/>
      <c r="K13" s="113"/>
      <c r="L13" s="114"/>
    </row>
    <row r="14" spans="1:12" ht="15.75">
      <c r="A14" s="112"/>
      <c r="B14" s="67" t="s">
        <v>218</v>
      </c>
      <c r="C14" s="69"/>
      <c r="D14" s="68"/>
      <c r="E14" s="2"/>
      <c r="F14" s="67" t="str">
        <f>Sheet1!G25</f>
        <v>HR 20AY 7179</v>
      </c>
      <c r="G14" s="68"/>
      <c r="H14" s="2"/>
      <c r="I14" s="2"/>
      <c r="J14" s="113"/>
      <c r="K14" s="113"/>
      <c r="L14" s="114"/>
    </row>
    <row r="15" spans="1:12" ht="15.75">
      <c r="A15" s="112"/>
      <c r="B15" s="67"/>
      <c r="C15" s="68"/>
      <c r="D15" s="68"/>
      <c r="E15" s="2"/>
      <c r="F15" s="68"/>
      <c r="G15" s="68"/>
      <c r="H15" s="2"/>
      <c r="I15" s="2"/>
      <c r="J15" s="113"/>
      <c r="K15" s="113"/>
      <c r="L15" s="114"/>
    </row>
    <row r="16" spans="1:12" ht="15.75">
      <c r="A16" s="112"/>
      <c r="B16" s="67" t="s">
        <v>219</v>
      </c>
      <c r="C16" s="68"/>
      <c r="D16" s="68"/>
      <c r="E16" s="2"/>
      <c r="F16" s="70" t="str">
        <f>Sheet1!G16</f>
        <v>231203/31/2025/7146</v>
      </c>
      <c r="G16" s="68"/>
      <c r="H16" s="2"/>
      <c r="I16" s="2"/>
      <c r="J16" s="113"/>
      <c r="K16" s="113"/>
      <c r="L16" s="114"/>
    </row>
    <row r="17" spans="1:12" ht="15.75">
      <c r="A17" s="112"/>
      <c r="B17" s="67"/>
      <c r="C17" s="68"/>
      <c r="D17" s="68"/>
      <c r="E17" s="2"/>
      <c r="F17" s="68"/>
      <c r="G17" s="68"/>
      <c r="H17" s="2"/>
      <c r="I17" s="2"/>
      <c r="J17" s="113"/>
      <c r="K17" s="113"/>
      <c r="L17" s="114"/>
    </row>
    <row r="18" spans="1:12" ht="15.75">
      <c r="A18" s="112"/>
      <c r="B18" s="67" t="s">
        <v>220</v>
      </c>
      <c r="C18" s="69"/>
      <c r="D18" s="68"/>
      <c r="E18" s="2"/>
      <c r="F18" s="68" t="str">
        <f>Sheet1!K16</f>
        <v>22.03.2025 to 21.03.2026</v>
      </c>
      <c r="G18" s="68"/>
      <c r="H18" s="2"/>
      <c r="I18" s="2"/>
      <c r="J18" s="113"/>
      <c r="K18" s="113"/>
      <c r="L18" s="114"/>
    </row>
    <row r="19" spans="1:12" ht="15.75">
      <c r="A19" s="112"/>
      <c r="B19" s="68"/>
      <c r="C19" s="69"/>
      <c r="D19" s="68"/>
      <c r="E19" s="2"/>
      <c r="F19" s="68"/>
      <c r="G19" s="68"/>
      <c r="H19" s="2"/>
      <c r="I19" s="2"/>
      <c r="J19" s="113"/>
      <c r="K19" s="113"/>
      <c r="L19" s="114"/>
    </row>
    <row r="20" spans="1:12" ht="15.75">
      <c r="A20" s="112"/>
      <c r="B20" s="67" t="s">
        <v>221</v>
      </c>
      <c r="C20" s="69"/>
      <c r="D20" s="68"/>
      <c r="E20" s="2"/>
      <c r="F20" s="71" t="str">
        <f>Sheet1!G52</f>
        <v>13.02.2026 about 9:45 AM</v>
      </c>
      <c r="G20" s="68"/>
      <c r="H20" s="2"/>
      <c r="I20" s="2"/>
      <c r="J20" s="113"/>
      <c r="K20" s="113"/>
      <c r="L20" s="114"/>
    </row>
    <row r="21" spans="1:12" ht="15.75">
      <c r="A21" s="112"/>
      <c r="B21" s="68"/>
      <c r="C21" s="68"/>
      <c r="D21" s="68"/>
      <c r="E21" s="68"/>
      <c r="F21" s="68"/>
      <c r="G21" s="68"/>
      <c r="H21" s="2"/>
      <c r="I21" s="2"/>
      <c r="J21" s="113"/>
      <c r="K21" s="113"/>
      <c r="L21" s="114"/>
    </row>
    <row r="22" spans="1:12" ht="12.75">
      <c r="A22" s="112"/>
      <c r="B22" s="2"/>
      <c r="C22" s="2"/>
      <c r="D22" s="2"/>
      <c r="E22" s="2"/>
      <c r="F22" s="2"/>
      <c r="G22" s="2"/>
      <c r="H22" s="2"/>
      <c r="I22" s="2"/>
      <c r="J22" s="113"/>
      <c r="K22" s="113"/>
      <c r="L22" s="114"/>
    </row>
    <row r="23" spans="1:12" ht="12.75">
      <c r="A23" s="112"/>
      <c r="B23" s="2"/>
      <c r="C23" s="2"/>
      <c r="D23" s="2"/>
      <c r="E23" s="2"/>
      <c r="F23" s="2"/>
      <c r="G23" s="2"/>
      <c r="H23" s="2"/>
      <c r="I23" s="2"/>
      <c r="J23" s="113"/>
      <c r="K23" s="113"/>
      <c r="L23" s="114"/>
    </row>
    <row r="24" spans="1:12" ht="12.75">
      <c r="A24" s="112"/>
      <c r="B24" s="2"/>
      <c r="C24" s="2"/>
      <c r="D24" s="2"/>
      <c r="E24" s="2"/>
      <c r="F24" s="2"/>
      <c r="G24" s="2"/>
      <c r="H24" s="2"/>
      <c r="I24" s="2"/>
      <c r="J24" s="113"/>
      <c r="K24" s="113"/>
      <c r="L24" s="114"/>
    </row>
    <row r="25" spans="1:12" ht="12.75">
      <c r="A25" s="112"/>
      <c r="B25" s="2"/>
      <c r="C25" s="2"/>
      <c r="D25" s="2"/>
      <c r="E25" s="2"/>
      <c r="F25" s="2"/>
      <c r="G25" s="2"/>
      <c r="H25" s="2"/>
      <c r="I25" s="2"/>
      <c r="J25" s="113"/>
      <c r="K25" s="113"/>
      <c r="L25" s="114"/>
    </row>
    <row r="26" spans="1:12" ht="12.75">
      <c r="A26" s="112"/>
      <c r="B26" s="2"/>
      <c r="C26" s="2"/>
      <c r="D26" s="2"/>
      <c r="E26" s="2"/>
      <c r="F26" s="2"/>
      <c r="G26" s="2"/>
      <c r="H26" s="2"/>
      <c r="I26" s="2"/>
      <c r="J26" s="113"/>
      <c r="K26" s="113"/>
      <c r="L26" s="114"/>
    </row>
    <row r="27" spans="1:12" ht="12.75">
      <c r="A27" s="112"/>
      <c r="B27" s="2"/>
      <c r="C27" s="2"/>
      <c r="D27" s="2"/>
      <c r="E27" s="2"/>
      <c r="F27" s="2"/>
      <c r="G27" s="2"/>
      <c r="H27" s="2"/>
      <c r="I27" s="2"/>
      <c r="J27" s="113"/>
      <c r="K27" s="113"/>
      <c r="L27" s="114"/>
    </row>
    <row r="28" spans="1:12" ht="15.75">
      <c r="A28" s="112"/>
      <c r="B28" s="158" t="s">
        <v>222</v>
      </c>
      <c r="C28" s="159"/>
      <c r="D28" s="159"/>
      <c r="E28" s="159"/>
      <c r="F28" s="159"/>
      <c r="G28" s="159"/>
      <c r="H28" s="159"/>
      <c r="I28" s="159"/>
      <c r="J28" s="160"/>
      <c r="K28" s="160"/>
      <c r="L28" s="114"/>
    </row>
    <row r="29" spans="1:12" ht="12.75">
      <c r="A29" s="112"/>
      <c r="B29" s="2"/>
      <c r="C29" s="2"/>
      <c r="D29" s="2"/>
      <c r="E29" s="2"/>
      <c r="F29" s="2"/>
      <c r="G29" s="2"/>
      <c r="H29" s="2"/>
      <c r="I29" s="2"/>
      <c r="J29" s="113"/>
      <c r="K29" s="113"/>
      <c r="L29" s="114"/>
    </row>
    <row r="30" spans="1:12" ht="12.75">
      <c r="A30" s="112"/>
      <c r="B30" s="2"/>
      <c r="C30" s="2"/>
      <c r="D30" s="2"/>
      <c r="E30" s="2"/>
      <c r="F30" s="2"/>
      <c r="G30" s="2"/>
      <c r="H30" s="2"/>
      <c r="I30" s="2"/>
      <c r="J30" s="113"/>
      <c r="K30" s="113"/>
      <c r="L30" s="114"/>
    </row>
    <row r="31" spans="1:12" ht="12.75">
      <c r="A31" s="112"/>
      <c r="B31" s="2"/>
      <c r="C31" s="2"/>
      <c r="D31" s="2"/>
      <c r="E31" s="2"/>
      <c r="F31" s="2"/>
      <c r="G31" s="2"/>
      <c r="H31" s="2"/>
      <c r="I31" s="2"/>
      <c r="J31" s="113"/>
      <c r="K31" s="113"/>
      <c r="L31" s="114"/>
    </row>
    <row r="32" spans="1:12" ht="12.75">
      <c r="A32" s="112"/>
      <c r="B32" s="2"/>
      <c r="C32" s="2"/>
      <c r="D32" s="2"/>
      <c r="E32" s="2"/>
      <c r="F32" s="2"/>
      <c r="G32" s="2"/>
      <c r="H32" s="2"/>
      <c r="I32" s="2"/>
      <c r="J32" s="113"/>
      <c r="K32" s="113"/>
      <c r="L32" s="114"/>
    </row>
    <row r="33" spans="1:12" ht="12.75">
      <c r="A33" s="112"/>
      <c r="B33" s="2"/>
      <c r="C33" s="2"/>
      <c r="D33" s="2"/>
      <c r="E33" s="2"/>
      <c r="F33" s="2"/>
      <c r="G33" s="2"/>
      <c r="H33" s="2"/>
      <c r="I33" s="2"/>
      <c r="J33" s="113"/>
      <c r="K33" s="113"/>
      <c r="L33" s="114"/>
    </row>
    <row r="34" spans="1:12" ht="15">
      <c r="A34" s="112"/>
      <c r="B34" s="2" t="s">
        <v>223</v>
      </c>
      <c r="C34" s="2"/>
      <c r="D34" s="2"/>
      <c r="E34" s="2"/>
      <c r="F34" s="251" t="s">
        <v>224</v>
      </c>
      <c r="G34" s="2"/>
      <c r="H34" s="2"/>
      <c r="I34" s="2"/>
      <c r="J34" s="113"/>
      <c r="K34" s="113"/>
      <c r="L34" s="114"/>
    </row>
    <row r="35" spans="1:12" ht="12.75">
      <c r="A35" s="112"/>
      <c r="B35" s="2" t="s">
        <v>225</v>
      </c>
      <c r="C35" s="2"/>
      <c r="D35" s="2"/>
      <c r="E35" s="2"/>
      <c r="F35" s="2"/>
      <c r="G35" s="2"/>
      <c r="H35" s="2"/>
      <c r="I35" s="2"/>
      <c r="J35" s="113"/>
      <c r="K35" s="113"/>
      <c r="L35" s="114"/>
    </row>
    <row r="36" spans="1:12" ht="12.75">
      <c r="A36" s="112"/>
      <c r="B36" s="2"/>
      <c r="C36" s="2"/>
      <c r="D36" s="2"/>
      <c r="E36" s="2"/>
      <c r="F36" s="2"/>
      <c r="G36" s="2"/>
      <c r="H36" s="2"/>
      <c r="I36" s="2"/>
      <c r="J36" s="113"/>
      <c r="K36" s="113"/>
      <c r="L36" s="114"/>
    </row>
    <row r="37" spans="1:12" ht="12.75">
      <c r="A37" s="112"/>
      <c r="B37" s="2"/>
      <c r="C37" s="2"/>
      <c r="D37" s="2"/>
      <c r="E37" s="2"/>
      <c r="F37" s="2"/>
      <c r="G37" s="2"/>
      <c r="H37" s="2"/>
      <c r="I37" s="2"/>
      <c r="J37" s="113"/>
      <c r="K37" s="113"/>
      <c r="L37" s="114"/>
    </row>
    <row r="38" spans="1:12" ht="12.75">
      <c r="A38" s="112"/>
      <c r="B38" s="2"/>
      <c r="C38" s="2"/>
      <c r="D38" s="2"/>
      <c r="E38" s="2"/>
      <c r="F38" s="2"/>
      <c r="G38" s="2"/>
      <c r="H38" s="2"/>
      <c r="I38" s="2"/>
      <c r="J38" s="113"/>
      <c r="K38" s="113"/>
      <c r="L38" s="114"/>
    </row>
    <row r="39" spans="1:12" ht="12.75">
      <c r="A39" s="112"/>
      <c r="B39" s="2"/>
      <c r="C39" s="2"/>
      <c r="D39" s="2"/>
      <c r="E39" s="2"/>
      <c r="F39" s="2"/>
      <c r="G39" s="2"/>
      <c r="H39" s="2"/>
      <c r="I39" s="2"/>
      <c r="J39" s="113"/>
      <c r="K39" s="113"/>
      <c r="L39" s="114"/>
    </row>
    <row r="40" spans="1:12" ht="12.75">
      <c r="A40" s="112"/>
      <c r="B40" s="2"/>
      <c r="C40" s="2"/>
      <c r="D40" s="2"/>
      <c r="E40" s="2"/>
      <c r="F40" s="2"/>
      <c r="G40" s="2"/>
      <c r="H40" s="2"/>
      <c r="I40" s="2"/>
      <c r="J40" s="113"/>
      <c r="K40" s="113"/>
      <c r="L40" s="114"/>
    </row>
    <row r="41" spans="1:12" ht="12.75">
      <c r="A41" s="112"/>
      <c r="B41" s="2"/>
      <c r="C41" s="2"/>
      <c r="D41" s="2"/>
      <c r="E41" s="2"/>
      <c r="F41" s="2"/>
      <c r="G41" s="2"/>
      <c r="H41" s="2"/>
      <c r="I41" s="2"/>
      <c r="J41" s="113"/>
      <c r="K41" s="113"/>
      <c r="L41" s="114"/>
    </row>
    <row r="42" spans="1:12" ht="12.75">
      <c r="A42" s="112"/>
      <c r="B42" s="2"/>
      <c r="C42" s="2"/>
      <c r="D42" s="2"/>
      <c r="E42" s="2"/>
      <c r="F42" s="2"/>
      <c r="G42" s="2"/>
      <c r="H42" s="2"/>
      <c r="I42" s="2"/>
      <c r="J42" s="113"/>
      <c r="K42" s="113"/>
      <c r="L42" s="114"/>
    </row>
    <row r="43" spans="1:12" ht="12.75">
      <c r="A43" s="112"/>
      <c r="B43" s="66" t="s">
        <v>226</v>
      </c>
      <c r="C43" s="2"/>
      <c r="D43" s="2"/>
      <c r="E43" s="2"/>
      <c r="F43" s="2"/>
      <c r="G43" s="2"/>
      <c r="H43" s="2"/>
      <c r="I43" s="2"/>
      <c r="J43" s="113"/>
      <c r="K43" s="113"/>
      <c r="L43" s="114"/>
    </row>
    <row r="44" spans="1:12" ht="12.75">
      <c r="A44" s="112"/>
      <c r="B44" s="4"/>
      <c r="C44" s="2"/>
      <c r="D44" s="2"/>
      <c r="E44" s="2"/>
      <c r="F44" s="2"/>
      <c r="G44" s="2"/>
      <c r="H44" s="2"/>
      <c r="I44" s="2"/>
      <c r="J44" s="113"/>
      <c r="K44" s="113"/>
      <c r="L44" s="114"/>
    </row>
    <row r="45" spans="1:12" ht="13.5" thickBot="1">
      <c r="A45" s="112"/>
      <c r="B45" s="65"/>
      <c r="C45" s="55"/>
      <c r="D45" s="55"/>
      <c r="E45" s="55"/>
      <c r="F45" s="55"/>
      <c r="G45" s="55"/>
      <c r="H45" s="55"/>
      <c r="I45" s="55"/>
      <c r="J45" s="108"/>
      <c r="K45" s="108"/>
      <c r="L45" s="114"/>
    </row>
    <row r="46" spans="1:12" ht="12.75">
      <c r="A46" s="112"/>
      <c r="B46" s="4"/>
      <c r="C46" s="2"/>
      <c r="D46" s="2"/>
      <c r="E46" s="2"/>
      <c r="F46" s="2"/>
      <c r="G46" s="2"/>
      <c r="H46" s="2"/>
      <c r="I46" s="2"/>
      <c r="J46" s="113"/>
      <c r="K46" s="113"/>
      <c r="L46" s="114"/>
    </row>
    <row r="47" spans="1:12" ht="14.25">
      <c r="A47" s="112"/>
      <c r="B47" s="56" t="s">
        <v>0</v>
      </c>
      <c r="C47" s="2"/>
      <c r="D47" s="2"/>
      <c r="E47" s="2"/>
      <c r="F47" s="2"/>
      <c r="G47" s="2" t="s">
        <v>227</v>
      </c>
      <c r="H47" s="2"/>
      <c r="I47" s="2"/>
      <c r="J47" s="113"/>
      <c r="K47" s="113"/>
      <c r="L47" s="114"/>
    </row>
    <row r="48" spans="1:12" ht="12.75">
      <c r="A48" s="112"/>
      <c r="B48" s="2" t="s">
        <v>2</v>
      </c>
      <c r="C48" s="2"/>
      <c r="D48" s="2"/>
      <c r="E48" s="2"/>
      <c r="F48" s="2"/>
      <c r="G48" s="2" t="s">
        <v>228</v>
      </c>
      <c r="H48" s="2"/>
      <c r="I48" s="2"/>
      <c r="J48" s="113"/>
      <c r="K48" s="113"/>
      <c r="L48" s="114"/>
    </row>
    <row r="49" spans="1:12" ht="12.75">
      <c r="A49" s="112"/>
      <c r="B49" s="2" t="s">
        <v>4</v>
      </c>
      <c r="C49" s="2"/>
      <c r="D49" s="2"/>
      <c r="E49" s="2"/>
      <c r="F49" s="4"/>
      <c r="G49" s="2" t="s">
        <v>229</v>
      </c>
      <c r="H49" s="2"/>
      <c r="I49" s="2"/>
      <c r="J49" s="113"/>
      <c r="K49" s="113"/>
      <c r="L49" s="114"/>
    </row>
    <row r="50" spans="1:12" ht="12.75">
      <c r="A50" s="112"/>
      <c r="B50" s="2" t="s">
        <v>6</v>
      </c>
      <c r="C50" s="2"/>
      <c r="D50" s="2"/>
      <c r="E50" s="2"/>
      <c r="F50" s="2"/>
      <c r="G50" s="2" t="s">
        <v>230</v>
      </c>
      <c r="H50" s="2"/>
      <c r="I50" s="2"/>
      <c r="J50" s="113"/>
      <c r="K50" s="113"/>
      <c r="L50" s="114"/>
    </row>
    <row r="51" spans="1:12" ht="12.75">
      <c r="A51" s="112"/>
      <c r="B51" s="2"/>
      <c r="C51" s="2"/>
      <c r="D51" s="2"/>
      <c r="E51" s="2"/>
      <c r="F51" s="2"/>
      <c r="G51" s="2"/>
      <c r="H51" s="2"/>
      <c r="I51" s="2"/>
      <c r="J51" s="113"/>
      <c r="K51" s="113"/>
      <c r="L51" s="114"/>
    </row>
    <row r="52" spans="1:12">
      <c r="A52" s="115"/>
      <c r="B52" s="116"/>
      <c r="C52" s="116"/>
      <c r="D52" s="116"/>
      <c r="E52" s="116"/>
      <c r="F52" s="116"/>
      <c r="G52" s="116"/>
      <c r="H52" s="116"/>
      <c r="I52" s="116"/>
      <c r="J52" s="116"/>
      <c r="K52" s="116"/>
      <c r="L52" s="117"/>
    </row>
  </sheetData>
  <pageMargins left="0.95" right="0.2" top="0.75" bottom="0.5" header="0.3" footer="0.3"/>
  <pageSetup orientation="portrait"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F191E-22C1-4114-BA06-6F7553D8E59F}">
  <dimension ref="B2:L49"/>
  <sheetViews>
    <sheetView topLeftCell="A31" workbookViewId="0">
      <selection activeCell="I43" sqref="I43"/>
    </sheetView>
  </sheetViews>
  <sheetFormatPr defaultRowHeight="15"/>
  <cols>
    <col min="1" max="1" width="6" style="126" customWidth="1"/>
    <col min="2" max="2" width="5.5" style="126" customWidth="1"/>
    <col min="3" max="4" width="9.33203125" style="126"/>
    <col min="5" max="5" width="15.6640625" style="126" customWidth="1"/>
    <col min="6" max="16384" width="9.33203125" style="126"/>
  </cols>
  <sheetData>
    <row r="2" spans="2:11" ht="22.5">
      <c r="F2" s="132" t="s">
        <v>16</v>
      </c>
      <c r="G2" s="133"/>
      <c r="H2" s="133"/>
      <c r="I2" s="133"/>
      <c r="J2" s="133"/>
      <c r="K2" s="133"/>
    </row>
    <row r="3" spans="2:11">
      <c r="F3" s="1" t="s">
        <v>231</v>
      </c>
    </row>
    <row r="7" spans="2:11">
      <c r="B7" s="130" t="s">
        <v>232</v>
      </c>
      <c r="D7" s="126" t="str">
        <f>Sheet1!G25</f>
        <v>HR 20AY 7179</v>
      </c>
      <c r="H7" s="130" t="s">
        <v>233</v>
      </c>
      <c r="J7" s="2" t="str">
        <f>Sheet1!G18</f>
        <v>Mr JAGDEEP KUMAR</v>
      </c>
    </row>
    <row r="9" spans="2:11">
      <c r="B9" s="130" t="s">
        <v>234</v>
      </c>
    </row>
    <row r="11" spans="2:11">
      <c r="B11" s="127">
        <v>1</v>
      </c>
      <c r="C11" s="126" t="s">
        <v>235</v>
      </c>
    </row>
    <row r="12" spans="2:11">
      <c r="B12" s="127">
        <v>2</v>
      </c>
      <c r="C12" s="126" t="s">
        <v>236</v>
      </c>
    </row>
    <row r="13" spans="2:11">
      <c r="B13" s="127">
        <v>3</v>
      </c>
      <c r="C13" s="126" t="s">
        <v>237</v>
      </c>
    </row>
    <row r="14" spans="2:11">
      <c r="B14" s="127">
        <v>4</v>
      </c>
      <c r="C14" s="126" t="s">
        <v>238</v>
      </c>
    </row>
    <row r="15" spans="2:11">
      <c r="B15" s="127">
        <v>5</v>
      </c>
      <c r="C15" s="126" t="s">
        <v>239</v>
      </c>
    </row>
    <row r="16" spans="2:11">
      <c r="B16" s="127">
        <v>6</v>
      </c>
      <c r="C16" s="126" t="s">
        <v>240</v>
      </c>
      <c r="H16" s="131"/>
    </row>
    <row r="17" spans="2:3">
      <c r="B17" s="127">
        <v>7</v>
      </c>
      <c r="C17" s="126" t="s">
        <v>241</v>
      </c>
    </row>
    <row r="18" spans="2:3">
      <c r="B18" s="127">
        <v>8</v>
      </c>
      <c r="C18" s="126" t="s">
        <v>242</v>
      </c>
    </row>
    <row r="19" spans="2:3">
      <c r="B19" s="127">
        <v>9</v>
      </c>
      <c r="C19" s="126" t="s">
        <v>243</v>
      </c>
    </row>
    <row r="20" spans="2:3">
      <c r="B20" s="127">
        <v>10</v>
      </c>
      <c r="C20" s="126" t="s">
        <v>244</v>
      </c>
    </row>
    <row r="21" spans="2:3">
      <c r="B21" s="127">
        <v>11</v>
      </c>
      <c r="C21" s="126" t="s">
        <v>245</v>
      </c>
    </row>
    <row r="22" spans="2:3">
      <c r="B22" s="127">
        <v>12</v>
      </c>
      <c r="C22" s="126" t="s">
        <v>246</v>
      </c>
    </row>
    <row r="23" spans="2:3">
      <c r="B23" s="127">
        <v>13</v>
      </c>
      <c r="C23" s="126" t="s">
        <v>247</v>
      </c>
    </row>
    <row r="24" spans="2:3">
      <c r="B24" s="127">
        <v>14</v>
      </c>
      <c r="C24" s="126" t="s">
        <v>248</v>
      </c>
    </row>
    <row r="25" spans="2:3">
      <c r="B25" s="127">
        <v>15</v>
      </c>
      <c r="C25" s="126" t="s">
        <v>249</v>
      </c>
    </row>
    <row r="26" spans="2:3">
      <c r="B26" s="127">
        <v>16</v>
      </c>
      <c r="C26" s="126" t="s">
        <v>250</v>
      </c>
    </row>
    <row r="27" spans="2:3">
      <c r="B27" s="127">
        <v>17</v>
      </c>
      <c r="C27" s="126" t="s">
        <v>251</v>
      </c>
    </row>
    <row r="28" spans="2:3">
      <c r="B28" s="127">
        <v>18</v>
      </c>
      <c r="C28" s="126" t="s">
        <v>252</v>
      </c>
    </row>
    <row r="29" spans="2:3">
      <c r="B29" s="127">
        <v>19</v>
      </c>
      <c r="C29" s="126" t="s">
        <v>253</v>
      </c>
    </row>
    <row r="30" spans="2:3">
      <c r="B30" s="128"/>
    </row>
    <row r="31" spans="2:3">
      <c r="B31" s="129" t="s">
        <v>254</v>
      </c>
    </row>
    <row r="33" spans="2:9">
      <c r="B33" s="127">
        <v>1</v>
      </c>
      <c r="C33" s="126" t="s">
        <v>255</v>
      </c>
    </row>
    <row r="34" spans="2:9">
      <c r="B34" s="127">
        <v>2</v>
      </c>
      <c r="C34" s="126" t="s">
        <v>256</v>
      </c>
      <c r="I34" s="126" t="s">
        <v>185</v>
      </c>
    </row>
    <row r="35" spans="2:9">
      <c r="B35" s="127">
        <v>3</v>
      </c>
      <c r="C35" s="126" t="s">
        <v>257</v>
      </c>
    </row>
    <row r="37" spans="2:9">
      <c r="B37" s="130" t="s">
        <v>258</v>
      </c>
    </row>
    <row r="39" spans="2:9">
      <c r="B39" s="127">
        <v>1</v>
      </c>
      <c r="C39" s="126" t="s">
        <v>259</v>
      </c>
    </row>
    <row r="40" spans="2:9">
      <c r="B40" s="127">
        <v>2</v>
      </c>
      <c r="C40" s="126" t="s">
        <v>260</v>
      </c>
    </row>
    <row r="41" spans="2:9">
      <c r="B41" s="127">
        <v>3</v>
      </c>
      <c r="C41" s="126" t="s">
        <v>261</v>
      </c>
    </row>
    <row r="42" spans="2:9">
      <c r="B42" s="127">
        <v>4</v>
      </c>
      <c r="C42" s="126" t="s">
        <v>262</v>
      </c>
    </row>
    <row r="43" spans="2:9">
      <c r="B43" s="127">
        <v>5</v>
      </c>
      <c r="C43" s="126" t="s">
        <v>263</v>
      </c>
    </row>
    <row r="44" spans="2:9">
      <c r="B44" s="127">
        <v>6</v>
      </c>
      <c r="C44" s="126" t="s">
        <v>264</v>
      </c>
    </row>
    <row r="45" spans="2:9">
      <c r="B45" s="127">
        <v>7</v>
      </c>
      <c r="C45" s="126" t="s">
        <v>265</v>
      </c>
    </row>
    <row r="46" spans="2:9">
      <c r="B46" s="127">
        <v>8</v>
      </c>
      <c r="C46" s="126" t="s">
        <v>266</v>
      </c>
    </row>
    <row r="49" spans="5:12" ht="18.75">
      <c r="E49" s="146" t="s">
        <v>267</v>
      </c>
      <c r="F49" s="147"/>
      <c r="G49" s="147"/>
      <c r="H49" s="147"/>
      <c r="I49" s="147"/>
      <c r="J49" s="147"/>
      <c r="K49" s="147"/>
      <c r="L49" s="147"/>
    </row>
  </sheetData>
  <pageMargins left="0.7" right="0.7" top="0.5" bottom="0.5" header="0.3" footer="0.3"/>
  <pageSetup orientation="portrait"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1C0BB-438A-4098-8B3F-7049CA8CC163}">
  <dimension ref="A1:K60"/>
  <sheetViews>
    <sheetView topLeftCell="A22" workbookViewId="0">
      <selection activeCell="D30" sqref="D30"/>
    </sheetView>
  </sheetViews>
  <sheetFormatPr defaultRowHeight="12.75"/>
  <cols>
    <col min="1" max="1" width="6.6640625" style="1" customWidth="1"/>
    <col min="2" max="7" width="9.33203125" style="1"/>
    <col min="8" max="8" width="11.83203125" style="1" customWidth="1"/>
    <col min="9" max="16384" width="9.33203125" style="1"/>
  </cols>
  <sheetData>
    <row r="1" spans="1:11">
      <c r="F1" s="1" t="s">
        <v>268</v>
      </c>
    </row>
    <row r="2" spans="1:11">
      <c r="D2" s="1" t="s">
        <v>269</v>
      </c>
    </row>
    <row r="3" spans="1:11">
      <c r="C3" s="1" t="s">
        <v>270</v>
      </c>
    </row>
    <row r="4" spans="1:11">
      <c r="B4" s="79" t="s">
        <v>271</v>
      </c>
      <c r="C4" s="73"/>
      <c r="D4" s="73"/>
      <c r="E4" s="73"/>
      <c r="F4" s="73"/>
      <c r="G4" s="148"/>
      <c r="H4" s="73" t="s">
        <v>272</v>
      </c>
      <c r="I4" s="73" t="str">
        <f>Sheet1!G16</f>
        <v>231203/31/2025/7146</v>
      </c>
      <c r="J4" s="73"/>
      <c r="K4" s="148"/>
    </row>
    <row r="5" spans="1:11">
      <c r="B5" s="23" t="s">
        <v>273</v>
      </c>
      <c r="C5" s="24"/>
      <c r="D5" s="24"/>
      <c r="E5" s="24"/>
      <c r="F5" s="24"/>
      <c r="G5" s="26"/>
      <c r="H5" s="24" t="s">
        <v>274</v>
      </c>
      <c r="I5" s="73" t="str">
        <f>Sheet1!G18</f>
        <v>Mr JAGDEEP KUMAR</v>
      </c>
      <c r="J5" s="24"/>
      <c r="K5" s="26"/>
    </row>
    <row r="6" spans="1:11">
      <c r="B6" s="23" t="s">
        <v>275</v>
      </c>
      <c r="C6" s="24"/>
      <c r="D6" s="24"/>
      <c r="E6" s="24" t="s">
        <v>276</v>
      </c>
      <c r="F6" s="24"/>
      <c r="G6" s="26"/>
      <c r="H6" s="24" t="s">
        <v>277</v>
      </c>
      <c r="I6" s="24"/>
      <c r="J6" s="24"/>
      <c r="K6" s="26"/>
    </row>
    <row r="7" spans="1:11">
      <c r="B7" s="3" t="s">
        <v>278</v>
      </c>
      <c r="C7" s="2"/>
      <c r="D7" s="2"/>
      <c r="E7" s="2" t="str">
        <f>Sheet1!C8</f>
        <v>SK/2025-26/OICL/116</v>
      </c>
      <c r="F7" s="2"/>
      <c r="G7" s="5"/>
      <c r="H7" s="2" t="s">
        <v>279</v>
      </c>
      <c r="I7" s="2"/>
      <c r="J7" s="2"/>
      <c r="K7" s="5"/>
    </row>
    <row r="8" spans="1:11">
      <c r="B8" s="3"/>
      <c r="C8" s="2"/>
      <c r="D8" s="2"/>
      <c r="E8" s="2"/>
      <c r="F8" s="2"/>
      <c r="G8" s="5"/>
      <c r="H8" s="2" t="s">
        <v>280</v>
      </c>
      <c r="I8" s="2"/>
      <c r="J8" s="279">
        <v>73070</v>
      </c>
      <c r="K8" s="5"/>
    </row>
    <row r="9" spans="1:11">
      <c r="B9" s="6"/>
      <c r="C9" s="7"/>
      <c r="D9" s="7"/>
      <c r="E9" s="7"/>
      <c r="F9" s="7"/>
      <c r="G9" s="8"/>
      <c r="H9" s="7" t="s">
        <v>281</v>
      </c>
      <c r="I9" s="7"/>
      <c r="J9" s="7" t="s">
        <v>282</v>
      </c>
      <c r="K9" s="8"/>
    </row>
    <row r="11" spans="1:11">
      <c r="B11" s="59">
        <v>1</v>
      </c>
      <c r="C11" s="1" t="s">
        <v>283</v>
      </c>
      <c r="H11" s="1" t="str">
        <f>Sheet1!N52</f>
        <v>13.02.2026</v>
      </c>
    </row>
    <row r="12" spans="1:11">
      <c r="B12" s="59"/>
    </row>
    <row r="13" spans="1:11">
      <c r="B13" s="59">
        <v>2</v>
      </c>
      <c r="C13" s="1" t="s">
        <v>284</v>
      </c>
      <c r="H13" s="1" t="str">
        <f>Sheet1!G56</f>
        <v>14.02.2026</v>
      </c>
    </row>
    <row r="14" spans="1:11">
      <c r="B14" s="59"/>
    </row>
    <row r="15" spans="1:11">
      <c r="B15" s="149" t="s">
        <v>285</v>
      </c>
      <c r="C15" s="1" t="s">
        <v>286</v>
      </c>
      <c r="H15" s="1" t="str">
        <f>Sheet1!G57</f>
        <v>16.02.2026</v>
      </c>
    </row>
    <row r="16" spans="1:11">
      <c r="A16" s="1" t="s">
        <v>185</v>
      </c>
      <c r="B16" s="59"/>
    </row>
    <row r="17" spans="2:10">
      <c r="B17" s="59" t="s">
        <v>287</v>
      </c>
      <c r="C17" s="1" t="s">
        <v>288</v>
      </c>
    </row>
    <row r="18" spans="2:10">
      <c r="B18" s="59"/>
    </row>
    <row r="19" spans="2:10">
      <c r="B19" s="59">
        <v>4</v>
      </c>
      <c r="C19" s="1" t="s">
        <v>289</v>
      </c>
    </row>
    <row r="20" spans="2:10">
      <c r="B20" s="59"/>
    </row>
    <row r="21" spans="2:10">
      <c r="B21" s="59">
        <v>5</v>
      </c>
      <c r="C21" s="1" t="s">
        <v>290</v>
      </c>
    </row>
    <row r="22" spans="2:10">
      <c r="B22" s="59"/>
    </row>
    <row r="23" spans="2:10">
      <c r="B23" s="59">
        <v>6</v>
      </c>
      <c r="C23" s="1" t="s">
        <v>291</v>
      </c>
    </row>
    <row r="24" spans="2:10">
      <c r="B24" s="59"/>
    </row>
    <row r="25" spans="2:10">
      <c r="B25" s="59">
        <v>7</v>
      </c>
      <c r="C25" s="1" t="s">
        <v>292</v>
      </c>
    </row>
    <row r="26" spans="2:10">
      <c r="B26" s="59"/>
    </row>
    <row r="27" spans="2:10">
      <c r="B27" s="59">
        <v>8</v>
      </c>
      <c r="C27" s="1" t="s">
        <v>293</v>
      </c>
      <c r="J27" s="1" t="s">
        <v>294</v>
      </c>
    </row>
    <row r="28" spans="2:10">
      <c r="B28" s="59"/>
    </row>
    <row r="29" spans="2:10">
      <c r="B29" s="59">
        <v>9</v>
      </c>
      <c r="C29" s="1" t="s">
        <v>295</v>
      </c>
    </row>
    <row r="30" spans="2:10">
      <c r="B30" s="59"/>
      <c r="C30" s="1" t="s">
        <v>296</v>
      </c>
    </row>
    <row r="31" spans="2:10">
      <c r="B31" s="59"/>
    </row>
    <row r="32" spans="2:10">
      <c r="B32" s="59">
        <v>10</v>
      </c>
      <c r="C32" s="1" t="s">
        <v>297</v>
      </c>
    </row>
    <row r="33" spans="2:11">
      <c r="B33" s="59"/>
    </row>
    <row r="34" spans="2:11">
      <c r="B34" s="59" t="s">
        <v>298</v>
      </c>
    </row>
    <row r="35" spans="2:11">
      <c r="B35" s="59" t="s">
        <v>299</v>
      </c>
      <c r="I35" s="75" t="s">
        <v>300</v>
      </c>
    </row>
    <row r="36" spans="2:11">
      <c r="B36" s="150"/>
      <c r="C36" s="7"/>
      <c r="D36" s="7"/>
      <c r="E36" s="7"/>
      <c r="F36" s="7"/>
      <c r="G36" s="7"/>
      <c r="H36" s="7"/>
      <c r="I36" s="7"/>
      <c r="J36" s="7"/>
      <c r="K36" s="7"/>
    </row>
    <row r="37" spans="2:11" ht="3" customHeight="1">
      <c r="B37" s="24"/>
      <c r="C37" s="24"/>
      <c r="D37" s="24"/>
      <c r="E37" s="24"/>
      <c r="F37" s="24"/>
      <c r="G37" s="24"/>
      <c r="H37" s="24"/>
      <c r="I37" s="24"/>
      <c r="J37" s="24"/>
      <c r="K37" s="24"/>
    </row>
    <row r="39" spans="2:11">
      <c r="B39" s="151" t="s">
        <v>301</v>
      </c>
    </row>
    <row r="41" spans="2:11">
      <c r="B41" s="1" t="s">
        <v>302</v>
      </c>
    </row>
    <row r="42" spans="2:11">
      <c r="B42" s="79"/>
      <c r="C42" s="97" t="s">
        <v>303</v>
      </c>
      <c r="D42" s="94"/>
      <c r="E42" s="94"/>
      <c r="F42" s="94"/>
      <c r="G42" s="142"/>
      <c r="H42" s="292" t="s">
        <v>304</v>
      </c>
      <c r="I42" s="293"/>
      <c r="J42" s="294"/>
      <c r="K42" s="155" t="s">
        <v>305</v>
      </c>
    </row>
    <row r="43" spans="2:11">
      <c r="B43" s="3"/>
      <c r="C43" s="16"/>
      <c r="D43" s="4"/>
      <c r="E43" s="4"/>
      <c r="F43" s="4"/>
      <c r="G43" s="156"/>
      <c r="H43" s="295" t="s">
        <v>306</v>
      </c>
      <c r="I43" s="296"/>
      <c r="J43" s="297"/>
      <c r="K43" s="157"/>
    </row>
    <row r="44" spans="2:11">
      <c r="B44" s="79"/>
      <c r="C44" s="79" t="s">
        <v>307</v>
      </c>
      <c r="D44" s="73"/>
      <c r="E44" s="73"/>
      <c r="F44" s="73"/>
      <c r="G44" s="148"/>
      <c r="H44" s="73"/>
      <c r="I44" s="73"/>
      <c r="J44" s="73"/>
      <c r="K44" s="152" t="s">
        <v>308</v>
      </c>
    </row>
    <row r="45" spans="2:11">
      <c r="B45" s="6"/>
      <c r="C45" s="6" t="s">
        <v>309</v>
      </c>
      <c r="D45" s="7"/>
      <c r="E45" s="7"/>
      <c r="F45" s="7"/>
      <c r="G45" s="8"/>
      <c r="H45" s="7"/>
      <c r="I45" s="7"/>
      <c r="J45" s="7"/>
      <c r="K45" s="141"/>
    </row>
    <row r="46" spans="2:11" ht="6.75" customHeight="1">
      <c r="B46" s="3"/>
      <c r="C46" s="3"/>
      <c r="D46" s="2"/>
      <c r="E46" s="2"/>
      <c r="F46" s="2"/>
      <c r="G46" s="5"/>
      <c r="H46" s="2"/>
      <c r="I46" s="2"/>
      <c r="J46" s="2"/>
      <c r="K46" s="74"/>
    </row>
    <row r="47" spans="2:11">
      <c r="B47" s="3"/>
      <c r="C47" s="3" t="s">
        <v>310</v>
      </c>
      <c r="D47" s="2"/>
      <c r="E47" s="2"/>
      <c r="F47" s="2"/>
      <c r="G47" s="5"/>
      <c r="H47" s="2"/>
      <c r="I47" s="2"/>
      <c r="J47" s="2"/>
      <c r="K47" s="102" t="s">
        <v>308</v>
      </c>
    </row>
    <row r="48" spans="2:11">
      <c r="B48" s="3"/>
      <c r="C48" s="3" t="s">
        <v>311</v>
      </c>
      <c r="D48" s="2"/>
      <c r="E48" s="2"/>
      <c r="F48" s="2"/>
      <c r="G48" s="5"/>
      <c r="H48" s="2"/>
      <c r="I48" s="2"/>
      <c r="J48" s="2"/>
      <c r="K48" s="74"/>
    </row>
    <row r="49" spans="2:11" ht="6.75" customHeight="1">
      <c r="B49" s="3"/>
      <c r="C49" s="3"/>
      <c r="D49" s="2"/>
      <c r="E49" s="2"/>
      <c r="F49" s="2"/>
      <c r="G49" s="5"/>
      <c r="H49" s="2"/>
      <c r="I49" s="2"/>
      <c r="J49" s="2"/>
      <c r="K49" s="74"/>
    </row>
    <row r="50" spans="2:11">
      <c r="B50" s="23"/>
      <c r="C50" s="23" t="s">
        <v>312</v>
      </c>
      <c r="D50" s="24"/>
      <c r="E50" s="24"/>
      <c r="F50" s="24"/>
      <c r="G50" s="26"/>
      <c r="H50" s="24"/>
      <c r="I50" s="24"/>
      <c r="J50" s="24"/>
      <c r="K50" s="153" t="s">
        <v>308</v>
      </c>
    </row>
    <row r="51" spans="2:11">
      <c r="B51" s="23"/>
      <c r="C51" s="23" t="s">
        <v>313</v>
      </c>
      <c r="D51" s="24"/>
      <c r="E51" s="24"/>
      <c r="F51" s="24"/>
      <c r="G51" s="26"/>
      <c r="H51" s="24"/>
      <c r="I51" s="24"/>
      <c r="J51" s="24"/>
      <c r="K51" s="153" t="s">
        <v>308</v>
      </c>
    </row>
    <row r="52" spans="2:11">
      <c r="B52" s="6"/>
      <c r="C52" s="6" t="s">
        <v>314</v>
      </c>
      <c r="D52" s="7"/>
      <c r="E52" s="7"/>
      <c r="F52" s="7"/>
      <c r="G52" s="8"/>
      <c r="H52" s="7"/>
      <c r="I52" s="7"/>
      <c r="J52" s="7"/>
      <c r="K52" s="154" t="s">
        <v>308</v>
      </c>
    </row>
    <row r="54" spans="2:11">
      <c r="B54" s="1" t="s">
        <v>315</v>
      </c>
    </row>
    <row r="56" spans="2:11">
      <c r="B56" s="1" t="s">
        <v>316</v>
      </c>
    </row>
    <row r="57" spans="2:11">
      <c r="B57" s="1" t="s">
        <v>317</v>
      </c>
    </row>
    <row r="58" spans="2:11">
      <c r="B58" s="1" t="s">
        <v>318</v>
      </c>
    </row>
    <row r="59" spans="2:11">
      <c r="B59" s="1" t="s">
        <v>319</v>
      </c>
    </row>
    <row r="60" spans="2:11">
      <c r="B60" s="1" t="s">
        <v>320</v>
      </c>
    </row>
  </sheetData>
  <mergeCells count="2">
    <mergeCell ref="H42:J42"/>
    <mergeCell ref="H43:J43"/>
  </mergeCells>
  <printOptions horizontalCentered="1"/>
  <pageMargins left="0.7" right="0.7" top="0.5" bottom="0.5" header="0.3" footer="0.3"/>
  <pageSetup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28BBB-342F-4769-AC09-99AE66A4C198}">
  <dimension ref="B1:M55"/>
  <sheetViews>
    <sheetView topLeftCell="A32" workbookViewId="0">
      <selection activeCell="C35" sqref="C35"/>
    </sheetView>
  </sheetViews>
  <sheetFormatPr defaultRowHeight="12.75"/>
  <cols>
    <col min="1" max="1" width="3.83203125" style="1" customWidth="1"/>
    <col min="2" max="2" width="4.5" style="1" customWidth="1"/>
    <col min="3" max="4" width="9.33203125" style="1"/>
    <col min="5" max="5" width="10" style="1" customWidth="1"/>
    <col min="6" max="6" width="13.6640625" style="1" customWidth="1"/>
    <col min="7" max="8" width="11" style="1" customWidth="1"/>
    <col min="9" max="10" width="9.33203125" style="1"/>
    <col min="11" max="11" width="6.33203125" style="1" customWidth="1"/>
    <col min="12" max="12" width="14.83203125" style="1" customWidth="1"/>
    <col min="13" max="13" width="6.1640625" style="1" customWidth="1"/>
    <col min="14" max="16384" width="9.33203125" style="1"/>
  </cols>
  <sheetData>
    <row r="1" spans="2:13">
      <c r="B1" s="79"/>
      <c r="C1" s="73"/>
      <c r="D1" s="73"/>
      <c r="E1" s="73"/>
      <c r="F1" s="73"/>
      <c r="G1" s="73"/>
      <c r="H1" s="73"/>
      <c r="I1" s="73"/>
      <c r="J1" s="73"/>
      <c r="K1" s="73"/>
      <c r="L1" s="73"/>
      <c r="M1" s="148"/>
    </row>
    <row r="2" spans="2:13">
      <c r="B2" s="3"/>
      <c r="C2" s="2"/>
      <c r="D2" s="2"/>
      <c r="E2" s="2"/>
      <c r="F2" s="2"/>
      <c r="G2" s="2"/>
      <c r="H2" s="2"/>
      <c r="I2" s="2"/>
      <c r="J2" s="2"/>
      <c r="K2" s="2"/>
      <c r="L2" s="2"/>
      <c r="M2" s="5"/>
    </row>
    <row r="3" spans="2:13" ht="14.25">
      <c r="B3" s="3"/>
      <c r="C3" s="56" t="s">
        <v>0</v>
      </c>
      <c r="D3" s="2"/>
      <c r="E3" s="2"/>
      <c r="F3" s="2"/>
      <c r="G3" s="2"/>
      <c r="H3" s="2"/>
      <c r="I3" s="2"/>
      <c r="J3" s="2" t="s">
        <v>321</v>
      </c>
      <c r="K3" s="2"/>
      <c r="L3" s="2"/>
      <c r="M3" s="5"/>
    </row>
    <row r="4" spans="2:13">
      <c r="B4" s="3"/>
      <c r="C4" s="2" t="s">
        <v>2</v>
      </c>
      <c r="D4" s="22"/>
      <c r="E4" s="14"/>
      <c r="F4" s="2"/>
      <c r="G4" s="2"/>
      <c r="H4" s="2"/>
      <c r="I4" s="2"/>
      <c r="J4" s="2" t="s">
        <v>3</v>
      </c>
      <c r="K4" s="2"/>
      <c r="L4" s="2"/>
      <c r="M4" s="5"/>
    </row>
    <row r="5" spans="2:13">
      <c r="B5" s="3"/>
      <c r="C5" s="2" t="s">
        <v>322</v>
      </c>
      <c r="D5" s="2"/>
      <c r="E5" s="2"/>
      <c r="F5" s="2"/>
      <c r="G5" s="2"/>
      <c r="H5" s="2"/>
      <c r="I5" s="4"/>
      <c r="J5" s="2" t="s">
        <v>5</v>
      </c>
      <c r="K5" s="2"/>
      <c r="L5" s="2"/>
      <c r="M5" s="5"/>
    </row>
    <row r="6" spans="2:13">
      <c r="B6" s="3"/>
      <c r="C6" s="7" t="s">
        <v>6</v>
      </c>
      <c r="D6" s="7"/>
      <c r="E6" s="7"/>
      <c r="F6" s="7"/>
      <c r="G6" s="7"/>
      <c r="H6" s="7"/>
      <c r="I6" s="7"/>
      <c r="J6" s="7" t="s">
        <v>323</v>
      </c>
      <c r="K6" s="7"/>
      <c r="L6" s="7"/>
      <c r="M6" s="5"/>
    </row>
    <row r="7" spans="2:13" ht="3" customHeight="1" thickBot="1">
      <c r="B7" s="3"/>
      <c r="C7" s="55"/>
      <c r="D7" s="55"/>
      <c r="E7" s="55"/>
      <c r="F7" s="55"/>
      <c r="G7" s="55"/>
      <c r="H7" s="55"/>
      <c r="I7" s="55"/>
      <c r="J7" s="55"/>
      <c r="K7" s="55"/>
      <c r="L7" s="55"/>
      <c r="M7" s="5"/>
    </row>
    <row r="8" spans="2:13">
      <c r="B8" s="3"/>
      <c r="C8" s="4"/>
      <c r="D8" s="2"/>
      <c r="E8" s="2"/>
      <c r="F8" s="2"/>
      <c r="G8" s="2"/>
      <c r="H8" s="2"/>
      <c r="I8" s="2"/>
      <c r="J8" s="2"/>
      <c r="K8" s="9"/>
      <c r="L8" s="10"/>
      <c r="M8" s="5"/>
    </row>
    <row r="9" spans="2:13">
      <c r="B9" s="161"/>
      <c r="C9" s="2"/>
      <c r="D9" s="2"/>
      <c r="E9" s="2"/>
      <c r="F9" s="2"/>
      <c r="G9" s="2"/>
      <c r="H9" s="2"/>
      <c r="I9" s="2"/>
      <c r="J9" s="2"/>
      <c r="K9" s="2"/>
      <c r="L9" s="2"/>
      <c r="M9" s="5"/>
    </row>
    <row r="10" spans="2:13">
      <c r="B10" s="3"/>
      <c r="C10" s="15" t="s">
        <v>8</v>
      </c>
      <c r="D10" s="2" t="str">
        <f>Sheet1!C8</f>
        <v>SK/2025-26/OICL/116</v>
      </c>
      <c r="E10" s="2"/>
      <c r="F10" s="2"/>
      <c r="G10" s="2"/>
      <c r="H10" s="2"/>
      <c r="I10" s="2"/>
      <c r="J10" s="2"/>
      <c r="K10" s="9" t="s">
        <v>10</v>
      </c>
      <c r="L10" s="18" t="str">
        <f>Sheet1!K8</f>
        <v>19.02.2026</v>
      </c>
      <c r="M10" s="5"/>
    </row>
    <row r="11" spans="2:13">
      <c r="B11" s="3"/>
      <c r="C11" s="15"/>
      <c r="D11" s="2"/>
      <c r="E11" s="2"/>
      <c r="F11" s="2"/>
      <c r="G11" s="2"/>
      <c r="H11" s="2"/>
      <c r="I11" s="2"/>
      <c r="J11" s="2"/>
      <c r="K11" s="9"/>
      <c r="L11" s="10"/>
      <c r="M11" s="5"/>
    </row>
    <row r="12" spans="2:13" ht="14.25">
      <c r="B12" s="3"/>
      <c r="C12" s="15"/>
      <c r="D12" s="2"/>
      <c r="E12" s="2"/>
      <c r="F12" s="162" t="s">
        <v>324</v>
      </c>
      <c r="G12" s="2"/>
      <c r="H12" s="2"/>
      <c r="I12" s="2"/>
      <c r="J12" s="2"/>
      <c r="K12" s="9"/>
      <c r="L12" s="10"/>
      <c r="M12" s="5"/>
    </row>
    <row r="13" spans="2:13" ht="14.25">
      <c r="B13" s="3"/>
      <c r="C13" s="2"/>
      <c r="D13" s="2"/>
      <c r="E13" s="2"/>
      <c r="F13" s="163"/>
      <c r="G13" s="164"/>
      <c r="H13" s="2"/>
      <c r="I13" s="2"/>
      <c r="J13" s="2"/>
      <c r="K13" s="2"/>
      <c r="L13" s="2"/>
      <c r="M13" s="5"/>
    </row>
    <row r="14" spans="2:13">
      <c r="B14" s="165"/>
      <c r="C14" s="2"/>
      <c r="D14" s="2"/>
      <c r="E14" s="2"/>
      <c r="F14" s="2"/>
      <c r="G14" s="2"/>
      <c r="H14" s="2"/>
      <c r="I14" s="2"/>
      <c r="J14" s="2"/>
      <c r="K14" s="2"/>
      <c r="L14" s="2"/>
      <c r="M14" s="5"/>
    </row>
    <row r="15" spans="2:13">
      <c r="B15" s="3"/>
      <c r="C15" s="15" t="s">
        <v>28</v>
      </c>
      <c r="D15" s="2"/>
      <c r="E15" s="2"/>
      <c r="F15" s="2"/>
      <c r="G15" s="19" t="str">
        <f>Sheet1!G18</f>
        <v>Mr JAGDEEP KUMAR</v>
      </c>
      <c r="H15" s="2"/>
      <c r="I15" s="2"/>
      <c r="J15" s="2"/>
      <c r="K15" s="2"/>
      <c r="L15" s="2"/>
      <c r="M15" s="5"/>
    </row>
    <row r="16" spans="2:13">
      <c r="B16" s="3"/>
      <c r="C16" s="2"/>
      <c r="D16" s="2"/>
      <c r="E16" s="2"/>
      <c r="F16" s="2"/>
      <c r="G16" s="19" t="str">
        <f>Sheet1!G19</f>
        <v>2563, Sector-9-11, Hissar</v>
      </c>
      <c r="H16" s="2"/>
      <c r="I16" s="2"/>
      <c r="J16" s="2"/>
      <c r="K16" s="2"/>
      <c r="L16" s="2"/>
      <c r="M16" s="5"/>
    </row>
    <row r="17" spans="2:13">
      <c r="B17" s="165"/>
      <c r="C17" s="2"/>
      <c r="D17" s="2"/>
      <c r="E17" s="2"/>
      <c r="F17" s="2"/>
      <c r="G17" s="2"/>
      <c r="H17" s="2"/>
      <c r="I17" s="2"/>
      <c r="J17" s="2"/>
      <c r="K17" s="2"/>
      <c r="L17" s="2"/>
      <c r="M17" s="5"/>
    </row>
    <row r="18" spans="2:13">
      <c r="B18" s="3"/>
      <c r="C18" s="15" t="s">
        <v>14</v>
      </c>
      <c r="D18" s="2"/>
      <c r="E18" s="2"/>
      <c r="F18" s="2"/>
      <c r="G18" s="279" t="str">
        <f>Sheet1!G13</f>
        <v>The Oriental Insurance Co. Ltd.</v>
      </c>
      <c r="H18" s="2"/>
      <c r="I18" s="2"/>
      <c r="J18" s="2"/>
      <c r="K18" s="2"/>
      <c r="L18" s="2"/>
      <c r="M18" s="5"/>
    </row>
    <row r="19" spans="2:13">
      <c r="B19" s="3"/>
      <c r="C19" s="2"/>
      <c r="D19" s="2"/>
      <c r="E19" s="2"/>
      <c r="F19" s="2"/>
      <c r="G19" s="279" t="str">
        <f>Sheet1!G14</f>
        <v>BO: SCO-52, Sector-42C, Chandigarh</v>
      </c>
      <c r="H19" s="279"/>
      <c r="I19" s="2"/>
      <c r="J19" s="2"/>
      <c r="K19" s="2"/>
      <c r="L19" s="2"/>
      <c r="M19" s="5"/>
    </row>
    <row r="20" spans="2:13">
      <c r="B20" s="166" t="s">
        <v>325</v>
      </c>
      <c r="C20" s="19"/>
      <c r="D20" s="19"/>
      <c r="E20" s="19"/>
      <c r="F20" s="19"/>
      <c r="G20" s="279" t="str">
        <f>Sheet1!G15</f>
        <v>Case allotted by The Oriental Ins. Co. Ltd., RO: SVC, Sector-17, Chd.</v>
      </c>
      <c r="H20" s="19"/>
      <c r="I20" s="19"/>
      <c r="J20" s="19"/>
      <c r="K20" s="2"/>
      <c r="L20" s="2"/>
      <c r="M20" s="5"/>
    </row>
    <row r="21" spans="2:13">
      <c r="B21" s="166"/>
      <c r="C21" s="19"/>
      <c r="D21" s="19"/>
      <c r="E21" s="19"/>
      <c r="F21" s="19"/>
      <c r="G21" s="19"/>
      <c r="H21" s="19"/>
      <c r="I21" s="19"/>
      <c r="J21" s="19"/>
      <c r="K21" s="2"/>
      <c r="L21" s="2"/>
      <c r="M21" s="5"/>
    </row>
    <row r="22" spans="2:13">
      <c r="B22" s="3"/>
      <c r="C22" s="15" t="s">
        <v>326</v>
      </c>
      <c r="D22" s="2"/>
      <c r="E22" s="2"/>
      <c r="F22" s="2"/>
      <c r="G22" s="12" t="str">
        <f>Sheet1!G25</f>
        <v>HR 20AY 7179</v>
      </c>
      <c r="H22" s="2"/>
      <c r="I22" s="2"/>
      <c r="J22" s="2"/>
      <c r="K22" s="2"/>
      <c r="L22" s="2"/>
      <c r="M22" s="5"/>
    </row>
    <row r="23" spans="2:13">
      <c r="B23" s="3"/>
      <c r="C23" s="2" t="s">
        <v>53</v>
      </c>
      <c r="D23" s="2"/>
      <c r="E23" s="2"/>
      <c r="F23" s="2"/>
      <c r="G23" s="279" t="str">
        <f>Sheet1!G31</f>
        <v>SKODA KUSHAQ STYLE 1.0 TSI AT/2023</v>
      </c>
      <c r="H23" s="2"/>
      <c r="I23" s="2"/>
      <c r="J23" s="2"/>
      <c r="K23" s="2"/>
      <c r="L23" s="2"/>
      <c r="M23" s="5"/>
    </row>
    <row r="24" spans="2:13">
      <c r="B24" s="161"/>
      <c r="C24" s="2"/>
      <c r="D24" s="2"/>
      <c r="E24" s="2"/>
      <c r="F24" s="2"/>
      <c r="G24" s="2"/>
      <c r="H24" s="2"/>
      <c r="I24" s="2"/>
      <c r="J24" s="2"/>
      <c r="K24" s="2"/>
      <c r="L24" s="2"/>
      <c r="M24" s="5"/>
    </row>
    <row r="25" spans="2:13">
      <c r="B25" s="3"/>
      <c r="C25" s="15" t="s">
        <v>327</v>
      </c>
      <c r="D25" s="2"/>
      <c r="E25" s="2"/>
      <c r="F25" s="2"/>
      <c r="G25" s="12" t="str">
        <f>Sheet1!G16</f>
        <v>231203/31/2025/7146</v>
      </c>
      <c r="H25" s="2"/>
      <c r="J25" s="9" t="s">
        <v>26</v>
      </c>
      <c r="K25" s="279" t="str">
        <f>Sheet1!K16</f>
        <v>22.03.2025 to 21.03.2026</v>
      </c>
      <c r="L25" s="2"/>
      <c r="M25" s="5"/>
    </row>
    <row r="26" spans="2:13" ht="9" customHeight="1">
      <c r="B26" s="3"/>
      <c r="C26" s="167"/>
      <c r="D26" s="7"/>
      <c r="E26" s="7"/>
      <c r="F26" s="7"/>
      <c r="G26" s="121"/>
      <c r="H26" s="168"/>
      <c r="I26" s="150"/>
      <c r="J26" s="7"/>
      <c r="K26" s="7"/>
      <c r="L26" s="7"/>
      <c r="M26" s="5"/>
    </row>
    <row r="27" spans="2:13" ht="9" customHeight="1">
      <c r="B27" s="3"/>
      <c r="C27" s="169"/>
      <c r="D27" s="2"/>
      <c r="E27" s="2"/>
      <c r="F27" s="2"/>
      <c r="G27" s="12"/>
      <c r="H27" s="9"/>
      <c r="I27" s="279"/>
      <c r="J27" s="2"/>
      <c r="K27" s="2"/>
      <c r="L27" s="2"/>
      <c r="M27" s="5"/>
    </row>
    <row r="28" spans="2:13">
      <c r="B28" s="3"/>
      <c r="C28" s="15" t="s">
        <v>328</v>
      </c>
      <c r="D28" s="2"/>
      <c r="E28" s="2"/>
      <c r="F28" s="2"/>
      <c r="G28" s="64" t="s">
        <v>329</v>
      </c>
      <c r="H28" s="170">
        <v>1800</v>
      </c>
      <c r="I28" s="171"/>
      <c r="J28" s="2"/>
      <c r="K28" s="2"/>
      <c r="L28" s="2"/>
      <c r="M28" s="5"/>
    </row>
    <row r="29" spans="2:13">
      <c r="B29" s="161"/>
      <c r="C29" s="2"/>
      <c r="D29" s="2"/>
      <c r="E29" s="2"/>
      <c r="F29" s="2"/>
      <c r="G29" s="64"/>
      <c r="H29" s="2"/>
      <c r="I29" s="2"/>
      <c r="J29" s="2"/>
      <c r="K29" s="2"/>
      <c r="L29" s="2"/>
      <c r="M29" s="5"/>
    </row>
    <row r="30" spans="2:13">
      <c r="B30" s="3"/>
      <c r="C30" s="15" t="s">
        <v>330</v>
      </c>
      <c r="D30" s="2"/>
      <c r="E30" s="2"/>
      <c r="F30" s="2"/>
      <c r="G30" s="64" t="s">
        <v>329</v>
      </c>
      <c r="H30" s="172">
        <v>500</v>
      </c>
      <c r="I30" s="2"/>
      <c r="J30" s="2"/>
      <c r="K30" s="2"/>
      <c r="L30" s="2"/>
      <c r="M30" s="5"/>
    </row>
    <row r="31" spans="2:13">
      <c r="B31" s="161"/>
      <c r="C31" s="2"/>
      <c r="D31" s="2"/>
      <c r="E31" s="2"/>
      <c r="F31" s="2"/>
      <c r="G31" s="64"/>
      <c r="H31" s="2"/>
      <c r="I31" s="2"/>
      <c r="J31" s="2"/>
      <c r="K31" s="2"/>
      <c r="L31" s="2"/>
      <c r="M31" s="5"/>
    </row>
    <row r="32" spans="2:13">
      <c r="B32" s="3"/>
      <c r="C32" s="15" t="s">
        <v>331</v>
      </c>
      <c r="D32" s="2"/>
      <c r="E32" s="2"/>
      <c r="F32" s="2"/>
      <c r="G32" s="64" t="s">
        <v>329</v>
      </c>
      <c r="H32" s="36">
        <v>0</v>
      </c>
      <c r="I32" s="2"/>
      <c r="J32" s="2"/>
      <c r="K32" s="2"/>
      <c r="L32" s="2"/>
      <c r="M32" s="5"/>
    </row>
    <row r="33" spans="2:13">
      <c r="B33" s="161"/>
      <c r="C33" s="2" t="s">
        <v>332</v>
      </c>
      <c r="D33" s="2"/>
      <c r="E33" s="2"/>
      <c r="F33" s="2"/>
      <c r="G33" s="64"/>
      <c r="H33" s="2"/>
      <c r="I33" s="2"/>
      <c r="J33" s="2"/>
      <c r="K33" s="2"/>
      <c r="L33" s="2"/>
      <c r="M33" s="5"/>
    </row>
    <row r="34" spans="2:13">
      <c r="B34" s="161"/>
      <c r="C34" s="2"/>
      <c r="D34" s="2"/>
      <c r="E34" s="2"/>
      <c r="F34" s="2"/>
      <c r="G34" s="64"/>
      <c r="H34" s="2"/>
      <c r="I34" s="2"/>
      <c r="J34" s="2"/>
      <c r="K34" s="2"/>
      <c r="L34" s="2"/>
      <c r="M34" s="5"/>
    </row>
    <row r="35" spans="2:13">
      <c r="B35" s="3"/>
      <c r="C35" s="15" t="s">
        <v>333</v>
      </c>
      <c r="D35" s="2"/>
      <c r="E35" s="2"/>
      <c r="F35" s="2"/>
      <c r="G35" s="64" t="s">
        <v>329</v>
      </c>
      <c r="H35" s="36">
        <v>0</v>
      </c>
      <c r="I35" s="2"/>
      <c r="J35" s="2"/>
      <c r="K35" s="2"/>
      <c r="L35" s="2"/>
      <c r="M35" s="5"/>
    </row>
    <row r="36" spans="2:13">
      <c r="B36" s="161"/>
      <c r="C36" s="2"/>
      <c r="D36" s="2"/>
      <c r="E36" s="2"/>
      <c r="F36" s="2"/>
      <c r="G36" s="64"/>
      <c r="H36" s="2"/>
      <c r="I36" s="2"/>
      <c r="J36" s="2"/>
      <c r="K36" s="2"/>
      <c r="L36" s="2"/>
      <c r="M36" s="5"/>
    </row>
    <row r="37" spans="2:13">
      <c r="B37" s="3"/>
      <c r="C37" s="15" t="s">
        <v>334</v>
      </c>
      <c r="D37" s="2"/>
      <c r="E37" s="2"/>
      <c r="F37" s="2"/>
      <c r="G37" s="64" t="s">
        <v>329</v>
      </c>
      <c r="H37" s="36">
        <v>0</v>
      </c>
      <c r="I37" s="2"/>
      <c r="J37" s="2"/>
      <c r="K37" s="2"/>
      <c r="L37" s="2"/>
      <c r="M37" s="5"/>
    </row>
    <row r="38" spans="2:13">
      <c r="B38" s="3"/>
      <c r="C38" s="2"/>
      <c r="D38" s="2"/>
      <c r="E38" s="2"/>
      <c r="F38" s="2"/>
      <c r="G38" s="64"/>
      <c r="H38" s="19" t="s">
        <v>335</v>
      </c>
      <c r="I38" s="2"/>
      <c r="J38" s="2"/>
      <c r="K38" s="2"/>
      <c r="L38" s="2"/>
      <c r="M38" s="5"/>
    </row>
    <row r="39" spans="2:13">
      <c r="B39" s="3"/>
      <c r="C39" s="2"/>
      <c r="D39" s="2"/>
      <c r="E39" s="2"/>
      <c r="F39" s="9" t="s">
        <v>336</v>
      </c>
      <c r="G39" s="64" t="s">
        <v>329</v>
      </c>
      <c r="H39" s="36">
        <f>SUM(H28:H37)</f>
        <v>2300</v>
      </c>
      <c r="I39" s="2"/>
      <c r="J39" s="2"/>
      <c r="K39" s="2"/>
      <c r="L39" s="2"/>
      <c r="M39" s="5"/>
    </row>
    <row r="40" spans="2:13">
      <c r="B40" s="3"/>
      <c r="C40" s="2"/>
      <c r="D40" s="2"/>
      <c r="E40" s="2"/>
      <c r="F40" s="2"/>
      <c r="G40" s="2"/>
      <c r="H40" s="19" t="s">
        <v>335</v>
      </c>
      <c r="I40" s="2"/>
      <c r="J40" s="2"/>
      <c r="K40" s="2"/>
      <c r="L40" s="2"/>
      <c r="M40" s="5"/>
    </row>
    <row r="41" spans="2:13">
      <c r="B41" s="161"/>
      <c r="C41" s="2"/>
      <c r="D41" s="2"/>
      <c r="E41" s="2"/>
      <c r="F41" s="2"/>
      <c r="G41" s="2"/>
      <c r="H41" s="2"/>
      <c r="I41" s="2"/>
      <c r="J41" s="2"/>
      <c r="K41" s="2"/>
      <c r="L41" s="2"/>
      <c r="M41" s="5"/>
    </row>
    <row r="42" spans="2:13" ht="15.75">
      <c r="B42" s="161"/>
      <c r="C42" s="187" t="s">
        <v>337</v>
      </c>
      <c r="D42" s="188"/>
      <c r="E42" s="188" t="s">
        <v>338</v>
      </c>
      <c r="F42" s="189"/>
      <c r="G42" s="2"/>
      <c r="H42" s="2"/>
      <c r="I42" s="2"/>
      <c r="J42" s="2"/>
      <c r="K42" s="2"/>
      <c r="L42" s="2"/>
      <c r="M42" s="5"/>
    </row>
    <row r="43" spans="2:13">
      <c r="B43" s="3"/>
      <c r="C43" s="2"/>
      <c r="D43" s="2"/>
      <c r="E43" s="2"/>
      <c r="F43" s="2"/>
      <c r="G43" s="2"/>
      <c r="H43" s="2"/>
      <c r="I43" s="2"/>
      <c r="J43" s="2"/>
      <c r="K43" s="2"/>
      <c r="L43" s="2"/>
      <c r="M43" s="5"/>
    </row>
    <row r="44" spans="2:13" ht="13.5" thickBot="1">
      <c r="B44" s="3"/>
      <c r="D44" s="2"/>
      <c r="E44" s="2"/>
      <c r="F44" s="2"/>
      <c r="G44" s="2"/>
      <c r="H44" s="2"/>
      <c r="I44" s="2"/>
      <c r="J44" s="2"/>
      <c r="K44" s="2"/>
      <c r="L44" s="2"/>
      <c r="M44" s="5"/>
    </row>
    <row r="45" spans="2:13">
      <c r="B45" s="3"/>
      <c r="C45" s="173" t="s">
        <v>339</v>
      </c>
      <c r="D45" s="174"/>
      <c r="E45" s="174"/>
      <c r="F45" s="175"/>
      <c r="G45" s="2"/>
      <c r="H45" s="2"/>
      <c r="I45" s="2"/>
      <c r="J45" s="15" t="s">
        <v>340</v>
      </c>
      <c r="K45" s="2"/>
      <c r="L45" s="2"/>
      <c r="M45" s="5"/>
    </row>
    <row r="46" spans="2:13">
      <c r="B46" s="3"/>
      <c r="C46" s="176"/>
      <c r="D46" s="177"/>
      <c r="E46" s="178"/>
      <c r="F46" s="179"/>
      <c r="G46" s="2"/>
      <c r="H46" s="2"/>
      <c r="I46" s="2"/>
      <c r="J46" s="2"/>
      <c r="K46" s="2"/>
      <c r="L46" s="2"/>
      <c r="M46" s="5"/>
    </row>
    <row r="47" spans="2:13">
      <c r="B47" s="3"/>
      <c r="C47" s="180" t="s">
        <v>341</v>
      </c>
      <c r="D47" s="177"/>
      <c r="E47" s="178"/>
      <c r="F47" s="179"/>
      <c r="G47" s="2"/>
      <c r="H47" s="2"/>
      <c r="I47" s="2"/>
      <c r="J47" s="2"/>
      <c r="K47" s="2"/>
      <c r="L47" s="2"/>
      <c r="M47" s="5"/>
    </row>
    <row r="48" spans="2:13">
      <c r="B48" s="3"/>
      <c r="C48" s="176" t="s">
        <v>342</v>
      </c>
      <c r="D48" s="177"/>
      <c r="E48" s="177" t="s">
        <v>343</v>
      </c>
      <c r="F48" s="181"/>
      <c r="G48" s="2"/>
      <c r="H48" s="2"/>
      <c r="I48" s="2"/>
      <c r="J48" s="2"/>
      <c r="K48" s="2"/>
      <c r="L48" s="2"/>
      <c r="M48" s="5"/>
    </row>
    <row r="49" spans="2:13">
      <c r="B49" s="3"/>
      <c r="C49" s="176" t="s">
        <v>344</v>
      </c>
      <c r="D49" s="177"/>
      <c r="E49" s="182" t="s">
        <v>345</v>
      </c>
      <c r="F49" s="181"/>
      <c r="G49" s="2"/>
      <c r="H49" s="2"/>
      <c r="I49" s="2"/>
      <c r="J49" s="2"/>
      <c r="K49" s="2"/>
      <c r="L49" s="2"/>
      <c r="M49" s="5"/>
    </row>
    <row r="50" spans="2:13">
      <c r="B50" s="3"/>
      <c r="C50" s="176" t="s">
        <v>346</v>
      </c>
      <c r="D50" s="177"/>
      <c r="E50" s="177" t="s">
        <v>347</v>
      </c>
      <c r="F50" s="181"/>
      <c r="G50" s="2"/>
      <c r="H50" s="2"/>
      <c r="I50" s="2"/>
      <c r="J50" s="2"/>
      <c r="K50" s="2"/>
      <c r="L50" s="2"/>
      <c r="M50" s="5"/>
    </row>
    <row r="51" spans="2:13">
      <c r="B51" s="3"/>
      <c r="C51" s="176" t="s">
        <v>348</v>
      </c>
      <c r="D51" s="177"/>
      <c r="E51" s="177" t="s">
        <v>349</v>
      </c>
      <c r="F51" s="179"/>
      <c r="G51" s="2"/>
      <c r="H51" s="2"/>
      <c r="I51" s="2"/>
      <c r="J51" s="2"/>
      <c r="K51" s="2"/>
      <c r="L51" s="2"/>
      <c r="M51" s="5"/>
    </row>
    <row r="52" spans="2:13" ht="13.5" thickBot="1">
      <c r="B52" s="3"/>
      <c r="C52" s="183" t="s">
        <v>350</v>
      </c>
      <c r="D52" s="184"/>
      <c r="E52" s="185" t="s">
        <v>351</v>
      </c>
      <c r="F52" s="186"/>
      <c r="G52" s="2"/>
      <c r="H52" s="2"/>
      <c r="I52" s="2"/>
      <c r="J52" s="2"/>
      <c r="K52" s="2"/>
      <c r="L52" s="2"/>
      <c r="M52" s="5"/>
    </row>
    <row r="53" spans="2:13">
      <c r="B53" s="3"/>
      <c r="C53" s="2"/>
      <c r="D53" s="2"/>
      <c r="E53" s="2"/>
      <c r="F53" s="2"/>
      <c r="G53" s="2"/>
      <c r="H53" s="2"/>
      <c r="I53" s="2"/>
      <c r="J53" s="2"/>
      <c r="K53" s="2"/>
      <c r="L53" s="2"/>
      <c r="M53" s="5"/>
    </row>
    <row r="54" spans="2:13">
      <c r="B54" s="3"/>
      <c r="C54" s="2"/>
      <c r="D54" s="2"/>
      <c r="E54" s="2"/>
      <c r="F54" s="2"/>
      <c r="G54" s="2"/>
      <c r="H54" s="2"/>
      <c r="I54" s="2"/>
      <c r="J54" s="2"/>
      <c r="K54" s="2"/>
      <c r="L54" s="2"/>
      <c r="M54" s="5"/>
    </row>
    <row r="55" spans="2:13">
      <c r="B55" s="6"/>
      <c r="C55" s="7"/>
      <c r="D55" s="7"/>
      <c r="E55" s="7"/>
      <c r="F55" s="7"/>
      <c r="G55" s="7"/>
      <c r="H55" s="7"/>
      <c r="I55" s="7"/>
      <c r="J55" s="7"/>
      <c r="K55" s="7"/>
      <c r="L55" s="7"/>
      <c r="M55" s="8"/>
    </row>
  </sheetData>
  <printOptions horizontalCentered="1"/>
  <pageMargins left="0.45" right="0.45" top="0.5" bottom="0.5" header="0.3" footer="0.3"/>
  <pageSetup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8DDC1-1FFD-43BF-A809-0EA89EEB869C}">
  <dimension ref="B5:I26"/>
  <sheetViews>
    <sheetView topLeftCell="A10" workbookViewId="0">
      <selection activeCell="D30" sqref="D30"/>
    </sheetView>
  </sheetViews>
  <sheetFormatPr defaultRowHeight="15.75"/>
  <cols>
    <col min="1" max="1" width="7.6640625" style="191" customWidth="1"/>
    <col min="2" max="2" width="32.5" style="191" customWidth="1"/>
    <col min="3" max="3" width="17.1640625" style="191" customWidth="1"/>
    <col min="4" max="4" width="22.6640625" style="191" customWidth="1"/>
    <col min="5" max="5" width="9.6640625" style="191" customWidth="1"/>
    <col min="6" max="6" width="14.6640625" style="191" customWidth="1"/>
    <col min="7" max="7" width="9.33203125" style="191"/>
    <col min="8" max="8" width="12.5" style="191" customWidth="1"/>
    <col min="9" max="16384" width="9.33203125" style="191"/>
  </cols>
  <sheetData>
    <row r="5" spans="2:9">
      <c r="B5" s="298" t="s">
        <v>352</v>
      </c>
      <c r="C5" s="299"/>
      <c r="D5" s="299"/>
      <c r="E5" s="299"/>
      <c r="F5" s="300"/>
    </row>
    <row r="6" spans="2:9">
      <c r="B6" s="208"/>
      <c r="C6" s="209"/>
      <c r="D6" s="209"/>
      <c r="E6" s="209"/>
      <c r="F6" s="210"/>
    </row>
    <row r="7" spans="2:9" ht="30" customHeight="1">
      <c r="B7" s="193" t="s">
        <v>353</v>
      </c>
      <c r="C7" s="199"/>
      <c r="D7" s="202" t="s">
        <v>354</v>
      </c>
      <c r="E7" s="203" t="s">
        <v>355</v>
      </c>
      <c r="F7" s="194" t="s">
        <v>356</v>
      </c>
      <c r="I7" s="192"/>
    </row>
    <row r="8" spans="2:9">
      <c r="B8" s="196" t="s">
        <v>357</v>
      </c>
      <c r="C8" s="197"/>
      <c r="D8" s="206">
        <f>Sheet1!I134</f>
        <v>13170</v>
      </c>
      <c r="E8" s="204">
        <v>18</v>
      </c>
      <c r="F8" s="214">
        <f t="shared" ref="F8:F16" si="0">D8*E8/100</f>
        <v>2370.6</v>
      </c>
    </row>
    <row r="9" spans="2:9">
      <c r="B9" s="195" t="s">
        <v>358</v>
      </c>
      <c r="C9" s="198"/>
      <c r="D9" s="207">
        <f>Sheet1!G111</f>
        <v>1989</v>
      </c>
      <c r="E9" s="205">
        <v>18</v>
      </c>
      <c r="F9" s="221">
        <f t="shared" si="0"/>
        <v>358.02</v>
      </c>
    </row>
    <row r="10" spans="2:9">
      <c r="B10" s="196" t="s">
        <v>358</v>
      </c>
      <c r="C10" s="197"/>
      <c r="D10" s="197">
        <v>0</v>
      </c>
      <c r="E10" s="204">
        <v>18</v>
      </c>
      <c r="F10" s="206">
        <f t="shared" si="0"/>
        <v>0</v>
      </c>
    </row>
    <row r="11" spans="2:9">
      <c r="B11" s="195" t="s">
        <v>359</v>
      </c>
      <c r="C11" s="198"/>
      <c r="D11" s="207">
        <f>Sheet1!I111</f>
        <v>186</v>
      </c>
      <c r="E11" s="205">
        <v>18</v>
      </c>
      <c r="F11" s="221">
        <f t="shared" si="0"/>
        <v>33.479999999999997</v>
      </c>
    </row>
    <row r="12" spans="2:9">
      <c r="B12" s="196" t="s">
        <v>145</v>
      </c>
      <c r="C12" s="197"/>
      <c r="D12" s="206">
        <f>Sheet1!H111</f>
        <v>4905.09</v>
      </c>
      <c r="E12" s="204">
        <v>18</v>
      </c>
      <c r="F12" s="206">
        <f t="shared" si="0"/>
        <v>882.9162</v>
      </c>
    </row>
    <row r="13" spans="2:9">
      <c r="B13" s="195" t="s">
        <v>146</v>
      </c>
      <c r="C13" s="198"/>
      <c r="D13" s="206">
        <f>Sheet1!J111</f>
        <v>7080</v>
      </c>
      <c r="E13" s="205">
        <v>18</v>
      </c>
      <c r="F13" s="206">
        <f t="shared" si="0"/>
        <v>1274.4000000000001</v>
      </c>
    </row>
    <row r="14" spans="2:9">
      <c r="B14" s="196" t="s">
        <v>360</v>
      </c>
      <c r="C14" s="197"/>
      <c r="D14" s="197">
        <v>0</v>
      </c>
      <c r="E14" s="204">
        <v>0</v>
      </c>
      <c r="F14" s="206">
        <f t="shared" si="0"/>
        <v>0</v>
      </c>
    </row>
    <row r="15" spans="2:9">
      <c r="B15" s="195" t="s">
        <v>361</v>
      </c>
      <c r="C15" s="198"/>
      <c r="D15" s="207">
        <f>-Sheet1!G145</f>
        <v>-1000</v>
      </c>
      <c r="E15" s="205">
        <v>18</v>
      </c>
      <c r="F15" s="206">
        <f t="shared" si="0"/>
        <v>-180</v>
      </c>
    </row>
    <row r="16" spans="2:9">
      <c r="B16" s="196" t="s">
        <v>362</v>
      </c>
      <c r="C16" s="197"/>
      <c r="D16" s="206">
        <f>-Sheet1!G148</f>
        <v>-100</v>
      </c>
      <c r="E16" s="204">
        <v>18</v>
      </c>
      <c r="F16" s="206">
        <f t="shared" si="0"/>
        <v>-18</v>
      </c>
    </row>
    <row r="17" spans="2:6">
      <c r="B17" s="195"/>
      <c r="C17" s="198" t="s">
        <v>363</v>
      </c>
      <c r="D17" s="207">
        <f>D8+D9+D10+D11+D12+D13+D14+D15+D16</f>
        <v>26230.09</v>
      </c>
      <c r="E17" s="198"/>
      <c r="F17" s="221">
        <v>0</v>
      </c>
    </row>
    <row r="18" spans="2:6">
      <c r="B18" s="196"/>
      <c r="C18" s="197" t="s">
        <v>364</v>
      </c>
      <c r="D18" s="197">
        <v>180</v>
      </c>
      <c r="E18" s="197"/>
      <c r="F18" s="214"/>
    </row>
    <row r="19" spans="2:6">
      <c r="B19" s="195"/>
      <c r="C19" s="198" t="s">
        <v>365</v>
      </c>
      <c r="D19" s="198">
        <v>18</v>
      </c>
      <c r="E19" s="198"/>
      <c r="F19" s="221"/>
    </row>
    <row r="20" spans="2:6">
      <c r="B20" s="196"/>
      <c r="C20" s="199" t="s">
        <v>366</v>
      </c>
      <c r="D20" s="218">
        <f>D17+D18+D19</f>
        <v>26428.09</v>
      </c>
      <c r="E20" s="197"/>
      <c r="F20" s="214">
        <v>0</v>
      </c>
    </row>
    <row r="21" spans="2:6" ht="30" customHeight="1">
      <c r="B21" s="211" t="s">
        <v>367</v>
      </c>
      <c r="C21" s="198"/>
      <c r="D21" s="198"/>
      <c r="E21" s="198"/>
      <c r="F21" s="221">
        <f>SUM(F8:F20)</f>
        <v>4721.4161999999997</v>
      </c>
    </row>
    <row r="22" spans="2:6">
      <c r="B22" s="196"/>
      <c r="C22" s="220" t="s">
        <v>368</v>
      </c>
      <c r="D22" s="197"/>
      <c r="E22" s="197"/>
      <c r="F22" s="219" t="s">
        <v>369</v>
      </c>
    </row>
    <row r="23" spans="2:6">
      <c r="B23" s="195"/>
      <c r="C23" s="212">
        <f>D20</f>
        <v>26428.09</v>
      </c>
      <c r="D23" s="213"/>
      <c r="E23" s="213"/>
      <c r="F23" s="222">
        <f>F21</f>
        <v>4721.4161999999997</v>
      </c>
    </row>
    <row r="24" spans="2:6">
      <c r="B24" s="196" t="s">
        <v>370</v>
      </c>
      <c r="C24" s="200"/>
      <c r="D24" s="200"/>
      <c r="E24" s="215" t="s">
        <v>371</v>
      </c>
      <c r="F24" s="214">
        <f>C23</f>
        <v>26428.09</v>
      </c>
    </row>
    <row r="25" spans="2:6" ht="31.5">
      <c r="B25" s="201" t="s">
        <v>367</v>
      </c>
      <c r="C25" s="200"/>
      <c r="D25" s="200"/>
      <c r="E25" s="215" t="s">
        <v>371</v>
      </c>
      <c r="F25" s="214">
        <f>F23</f>
        <v>4721.4161999999997</v>
      </c>
    </row>
    <row r="26" spans="2:6">
      <c r="B26" s="187" t="s">
        <v>372</v>
      </c>
      <c r="C26" s="188"/>
      <c r="D26" s="188"/>
      <c r="E26" s="216" t="s">
        <v>371</v>
      </c>
      <c r="F26" s="217">
        <f>F24+F25</f>
        <v>31149.5062</v>
      </c>
    </row>
  </sheetData>
  <mergeCells count="1">
    <mergeCell ref="B5:F5"/>
  </mergeCells>
  <printOptions horizontalCentered="1"/>
  <pageMargins left="0.45" right="0.45" top="0.75" bottom="0.75" header="0.3" footer="0.3"/>
  <pageSetup orientation="portrait" verticalDpi="0" r:id="rId1"/>
  <ignoredErrors>
    <ignoredError sqref="F24"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A62EE-3DE1-4465-9086-05BF8A3BD4AF}">
  <dimension ref="B2:K74"/>
  <sheetViews>
    <sheetView workbookViewId="0">
      <selection activeCell="G27" sqref="G27"/>
    </sheetView>
  </sheetViews>
  <sheetFormatPr defaultRowHeight="12"/>
  <cols>
    <col min="1" max="1" width="5" style="229" customWidth="1"/>
    <col min="2" max="2" width="5.83203125" style="229" customWidth="1"/>
    <col min="3" max="5" width="9.33203125" style="229"/>
    <col min="6" max="6" width="13.33203125" style="229" customWidth="1"/>
    <col min="7" max="7" width="16.1640625" style="229" customWidth="1"/>
    <col min="8" max="8" width="9.33203125" style="229"/>
    <col min="9" max="9" width="12.33203125" style="229" customWidth="1"/>
    <col min="10" max="10" width="9.33203125" style="229"/>
    <col min="11" max="11" width="11.33203125" style="229" customWidth="1"/>
    <col min="12" max="16384" width="9.33203125" style="229"/>
  </cols>
  <sheetData>
    <row r="2" spans="2:11" ht="14.25">
      <c r="B2" s="56" t="s">
        <v>0</v>
      </c>
      <c r="C2" s="1"/>
      <c r="D2" s="1"/>
      <c r="E2" s="1"/>
      <c r="F2" s="1"/>
      <c r="G2" s="1"/>
      <c r="H2" s="1"/>
      <c r="I2" s="1" t="s">
        <v>1</v>
      </c>
      <c r="J2" s="1"/>
      <c r="K2" s="1"/>
    </row>
    <row r="3" spans="2:11" ht="12.75">
      <c r="B3" s="2" t="s">
        <v>2</v>
      </c>
      <c r="C3" s="22"/>
      <c r="D3" s="14"/>
      <c r="E3" s="2"/>
      <c r="F3" s="2"/>
      <c r="G3" s="2"/>
      <c r="H3" s="2"/>
      <c r="I3" s="2" t="s">
        <v>3</v>
      </c>
      <c r="J3" s="1"/>
      <c r="K3" s="2"/>
    </row>
    <row r="4" spans="2:11" ht="12.75">
      <c r="B4" s="1" t="s">
        <v>4</v>
      </c>
      <c r="C4" s="2"/>
      <c r="D4" s="2"/>
      <c r="E4" s="2"/>
      <c r="F4" s="2"/>
      <c r="G4" s="2"/>
      <c r="H4" s="4"/>
      <c r="I4" s="2" t="s">
        <v>5</v>
      </c>
      <c r="J4" s="1"/>
      <c r="K4" s="2"/>
    </row>
    <row r="5" spans="2:11" ht="12.75">
      <c r="B5" s="7" t="s">
        <v>6</v>
      </c>
      <c r="C5" s="7"/>
      <c r="D5" s="7"/>
      <c r="E5" s="7"/>
      <c r="F5" s="7"/>
      <c r="G5" s="7"/>
      <c r="H5" s="7"/>
      <c r="I5" s="7" t="s">
        <v>7</v>
      </c>
      <c r="J5" s="7"/>
      <c r="K5" s="7"/>
    </row>
    <row r="6" spans="2:11" ht="2.25" customHeight="1" thickBot="1">
      <c r="B6" s="55"/>
      <c r="C6" s="55"/>
      <c r="D6" s="55"/>
      <c r="E6" s="55"/>
      <c r="F6" s="55"/>
      <c r="G6" s="55"/>
      <c r="H6" s="55"/>
      <c r="I6" s="55"/>
      <c r="J6" s="55"/>
      <c r="K6" s="55"/>
    </row>
    <row r="7" spans="2:11" ht="12.75">
      <c r="B7" s="2"/>
      <c r="C7" s="2"/>
      <c r="D7" s="2"/>
      <c r="E7" s="2"/>
      <c r="F7" s="2"/>
      <c r="G7" s="2"/>
      <c r="H7" s="2"/>
      <c r="I7" s="2"/>
      <c r="J7" s="2"/>
      <c r="K7" s="2"/>
    </row>
    <row r="8" spans="2:11" ht="12.75">
      <c r="B8" s="4" t="s">
        <v>8</v>
      </c>
      <c r="C8" s="2" t="s">
        <v>373</v>
      </c>
      <c r="D8" s="2"/>
      <c r="E8" s="2"/>
      <c r="F8" s="2"/>
      <c r="G8" s="2"/>
      <c r="H8" s="2"/>
      <c r="I8" s="2"/>
      <c r="J8" s="9" t="s">
        <v>10</v>
      </c>
      <c r="K8" s="18" t="s">
        <v>374</v>
      </c>
    </row>
    <row r="9" spans="2:11" ht="12.75">
      <c r="B9" s="4"/>
      <c r="C9" s="2"/>
      <c r="D9" s="2"/>
      <c r="E9" s="2"/>
      <c r="F9" s="2"/>
      <c r="G9" s="2"/>
      <c r="H9" s="2"/>
      <c r="I9" s="2"/>
      <c r="J9" s="9"/>
      <c r="K9" s="10"/>
    </row>
    <row r="10" spans="2:11" ht="12.75">
      <c r="B10" s="11" t="s">
        <v>375</v>
      </c>
      <c r="C10" s="2"/>
      <c r="D10" s="2"/>
      <c r="E10" s="2"/>
      <c r="F10" s="2"/>
      <c r="G10" s="2"/>
      <c r="H10" s="2"/>
      <c r="I10" s="2"/>
      <c r="J10" s="2"/>
      <c r="K10" s="2"/>
    </row>
    <row r="11" spans="2:11" ht="30" customHeight="1">
      <c r="B11" s="280" t="s">
        <v>376</v>
      </c>
      <c r="C11" s="280"/>
      <c r="D11" s="280"/>
      <c r="E11" s="280"/>
      <c r="F11" s="280"/>
      <c r="G11" s="280"/>
      <c r="H11" s="280"/>
      <c r="I11" s="280"/>
      <c r="J11" s="280"/>
      <c r="K11" s="280"/>
    </row>
    <row r="13" spans="2:11" ht="12.75">
      <c r="B13" s="230" t="s">
        <v>377</v>
      </c>
      <c r="C13" s="231"/>
      <c r="D13" s="231"/>
      <c r="E13" s="231"/>
      <c r="F13" s="231"/>
      <c r="G13" s="231"/>
      <c r="H13" s="231"/>
      <c r="I13" s="231"/>
      <c r="J13" s="231"/>
      <c r="K13" s="1"/>
    </row>
    <row r="14" spans="2:11" ht="12.75" customHeight="1">
      <c r="B14" s="2" t="s">
        <v>378</v>
      </c>
      <c r="C14" s="231"/>
      <c r="D14" s="231"/>
      <c r="E14" s="231"/>
      <c r="F14" s="231"/>
      <c r="G14" s="231"/>
      <c r="H14" s="231"/>
      <c r="I14" s="231"/>
      <c r="J14" s="231"/>
      <c r="K14" s="1"/>
    </row>
    <row r="15" spans="2:11" ht="12.75">
      <c r="B15" s="2" t="s">
        <v>379</v>
      </c>
      <c r="C15" s="231"/>
      <c r="D15" s="231"/>
      <c r="E15" s="231"/>
      <c r="F15" s="231"/>
      <c r="G15" s="231"/>
      <c r="H15" s="231"/>
      <c r="I15" s="231"/>
      <c r="J15" s="231"/>
      <c r="K15" s="1"/>
    </row>
    <row r="16" spans="2:11" ht="12.75">
      <c r="B16" s="1"/>
      <c r="C16" s="1"/>
      <c r="D16" s="1"/>
      <c r="E16" s="1"/>
      <c r="F16" s="1"/>
      <c r="G16" s="1"/>
      <c r="H16" s="1"/>
      <c r="I16" s="1"/>
      <c r="J16" s="1"/>
      <c r="K16" s="1"/>
    </row>
    <row r="17" spans="2:11" ht="12.75">
      <c r="B17" s="1" t="s">
        <v>380</v>
      </c>
      <c r="C17" s="1" t="s">
        <v>381</v>
      </c>
      <c r="D17" s="75"/>
      <c r="E17" s="4" t="s">
        <v>382</v>
      </c>
      <c r="F17" s="1"/>
      <c r="G17" s="1"/>
      <c r="H17" s="1"/>
      <c r="I17" s="1"/>
      <c r="J17" s="1"/>
      <c r="K17" s="1"/>
    </row>
    <row r="18" spans="2:11" ht="12.75">
      <c r="B18" s="1"/>
      <c r="C18" s="1" t="s">
        <v>383</v>
      </c>
      <c r="D18" s="2" t="s">
        <v>384</v>
      </c>
      <c r="E18" s="4"/>
      <c r="F18" s="1"/>
      <c r="G18" s="1"/>
      <c r="H18" s="232" t="s">
        <v>385</v>
      </c>
      <c r="I18" s="1"/>
      <c r="J18" s="1" t="s">
        <v>386</v>
      </c>
      <c r="K18" s="1"/>
    </row>
    <row r="19" spans="2:11" ht="12.75">
      <c r="B19" s="1"/>
      <c r="C19" s="1" t="s">
        <v>387</v>
      </c>
      <c r="D19" s="12" t="s">
        <v>388</v>
      </c>
      <c r="E19" s="1"/>
      <c r="F19" s="1"/>
      <c r="G19" s="233" t="s">
        <v>26</v>
      </c>
      <c r="H19" s="2" t="s">
        <v>389</v>
      </c>
      <c r="I19" s="1"/>
      <c r="J19" s="1"/>
      <c r="K19" s="1"/>
    </row>
    <row r="20" spans="2:11" ht="12.75">
      <c r="B20" s="1"/>
      <c r="C20" s="1"/>
      <c r="D20" s="1"/>
      <c r="E20" s="1"/>
      <c r="F20" s="1"/>
      <c r="G20" s="1"/>
      <c r="H20" s="1"/>
      <c r="I20" s="1"/>
      <c r="J20" s="1"/>
      <c r="K20" s="1"/>
    </row>
    <row r="21" spans="2:11" ht="12.75">
      <c r="B21" s="1" t="s">
        <v>390</v>
      </c>
      <c r="C21" s="1"/>
      <c r="D21" s="1"/>
      <c r="E21" s="1"/>
      <c r="F21" s="1"/>
      <c r="G21" s="1"/>
      <c r="H21" s="1"/>
      <c r="I21" s="1"/>
      <c r="J21" s="1"/>
      <c r="K21" s="1"/>
    </row>
    <row r="22" spans="2:11" ht="41.25" customHeight="1">
      <c r="B22" s="290" t="s">
        <v>391</v>
      </c>
      <c r="C22" s="290"/>
      <c r="D22" s="290"/>
      <c r="E22" s="290"/>
      <c r="F22" s="290"/>
      <c r="G22" s="290"/>
      <c r="H22" s="290"/>
      <c r="I22" s="290"/>
      <c r="J22" s="290"/>
      <c r="K22" s="1"/>
    </row>
    <row r="23" spans="2:11" ht="12.75">
      <c r="B23" s="2"/>
      <c r="C23" s="2"/>
      <c r="D23" s="2"/>
      <c r="E23" s="2"/>
      <c r="F23" s="2"/>
      <c r="G23" s="2"/>
      <c r="H23" s="2"/>
      <c r="I23" s="2"/>
      <c r="J23" s="2"/>
      <c r="K23" s="2"/>
    </row>
    <row r="24" spans="2:11" ht="12.75">
      <c r="B24" s="4" t="s">
        <v>392</v>
      </c>
      <c r="C24" s="2"/>
      <c r="D24" s="2"/>
      <c r="E24" s="2"/>
      <c r="F24" s="2"/>
      <c r="G24" s="2"/>
      <c r="H24" s="2"/>
      <c r="I24" s="2"/>
      <c r="J24" s="2"/>
      <c r="K24" s="2"/>
    </row>
    <row r="25" spans="2:11" ht="12.75">
      <c r="B25" s="2"/>
      <c r="C25" s="2"/>
      <c r="D25" s="2"/>
      <c r="E25" s="2"/>
      <c r="F25" s="2"/>
      <c r="G25" s="2"/>
      <c r="H25" s="2"/>
      <c r="I25" s="2"/>
      <c r="J25" s="2"/>
      <c r="K25" s="2"/>
    </row>
    <row r="26" spans="2:11" ht="12.75">
      <c r="B26" s="12">
        <v>1</v>
      </c>
      <c r="C26" s="2" t="s">
        <v>393</v>
      </c>
      <c r="D26" s="2"/>
      <c r="E26" s="2"/>
      <c r="F26" s="2"/>
      <c r="G26" s="2"/>
      <c r="H26" s="2"/>
      <c r="I26" s="2"/>
      <c r="J26" s="2"/>
      <c r="K26" s="2"/>
    </row>
    <row r="27" spans="2:11" ht="12.75">
      <c r="B27" s="1"/>
      <c r="C27" s="2" t="s">
        <v>394</v>
      </c>
      <c r="D27" s="2"/>
      <c r="E27" s="2"/>
      <c r="F27" s="2"/>
      <c r="G27" s="2"/>
      <c r="H27" s="2"/>
      <c r="I27" s="2"/>
      <c r="J27" s="2"/>
      <c r="K27" s="2"/>
    </row>
    <row r="28" spans="2:11" ht="12.75">
      <c r="B28" s="2"/>
      <c r="C28" s="2"/>
      <c r="D28" s="2"/>
      <c r="E28" s="2"/>
      <c r="F28" s="2"/>
      <c r="G28" s="2"/>
      <c r="H28" s="2"/>
      <c r="I28" s="2"/>
      <c r="J28" s="2"/>
      <c r="K28" s="2"/>
    </row>
    <row r="29" spans="2:11" ht="12.75">
      <c r="B29" s="84" t="s">
        <v>141</v>
      </c>
      <c r="C29" s="85" t="s">
        <v>395</v>
      </c>
      <c r="D29" s="85"/>
      <c r="E29" s="85"/>
      <c r="F29" s="234" t="s">
        <v>297</v>
      </c>
      <c r="G29" s="235" t="s">
        <v>396</v>
      </c>
      <c r="H29" s="2"/>
      <c r="I29" s="2"/>
      <c r="J29" s="2"/>
      <c r="K29" s="2"/>
    </row>
    <row r="30" spans="2:11" ht="12.75">
      <c r="B30" s="119">
        <v>1</v>
      </c>
      <c r="C30" s="2" t="s">
        <v>397</v>
      </c>
      <c r="D30" s="2"/>
      <c r="E30" s="5"/>
      <c r="F30" s="30" t="s">
        <v>398</v>
      </c>
      <c r="G30" s="30" t="s">
        <v>399</v>
      </c>
      <c r="H30" s="236"/>
      <c r="I30" s="2"/>
      <c r="J30" s="2"/>
      <c r="K30" s="2"/>
    </row>
    <row r="31" spans="2:11" ht="12.75">
      <c r="B31" s="237">
        <v>2</v>
      </c>
      <c r="C31" s="24" t="s">
        <v>400</v>
      </c>
      <c r="D31" s="24"/>
      <c r="E31" s="26"/>
      <c r="F31" s="72" t="s">
        <v>398</v>
      </c>
      <c r="G31" s="72" t="s">
        <v>399</v>
      </c>
      <c r="H31" s="236"/>
      <c r="I31" s="2"/>
      <c r="J31" s="2"/>
      <c r="K31" s="2"/>
    </row>
    <row r="32" spans="2:11" ht="12.75">
      <c r="B32" s="89">
        <v>3</v>
      </c>
      <c r="C32" s="2" t="s">
        <v>401</v>
      </c>
      <c r="D32" s="2"/>
      <c r="E32" s="5"/>
      <c r="F32" s="30" t="s">
        <v>398</v>
      </c>
      <c r="G32" s="30" t="s">
        <v>399</v>
      </c>
      <c r="H32" s="236"/>
      <c r="I32" s="2"/>
      <c r="J32" s="2"/>
      <c r="K32" s="2"/>
    </row>
    <row r="33" spans="2:11" ht="12.75">
      <c r="B33" s="237">
        <v>4</v>
      </c>
      <c r="C33" s="24" t="s">
        <v>402</v>
      </c>
      <c r="D33" s="24"/>
      <c r="E33" s="26"/>
      <c r="F33" s="72" t="s">
        <v>398</v>
      </c>
      <c r="G33" s="72" t="s">
        <v>399</v>
      </c>
      <c r="H33" s="236"/>
      <c r="I33" s="2"/>
      <c r="J33" s="2"/>
      <c r="K33" s="2"/>
    </row>
    <row r="34" spans="2:11" ht="12.75">
      <c r="B34" s="89">
        <v>5</v>
      </c>
      <c r="C34" s="2" t="s">
        <v>403</v>
      </c>
      <c r="D34" s="2"/>
      <c r="E34" s="5"/>
      <c r="F34" s="30" t="s">
        <v>398</v>
      </c>
      <c r="G34" s="30" t="s">
        <v>399</v>
      </c>
      <c r="H34" s="236"/>
      <c r="I34" s="2"/>
      <c r="J34" s="2"/>
      <c r="K34" s="2"/>
    </row>
    <row r="35" spans="2:11" ht="12.75">
      <c r="B35" s="237">
        <v>6</v>
      </c>
      <c r="C35" s="24" t="s">
        <v>404</v>
      </c>
      <c r="D35" s="24"/>
      <c r="E35" s="26"/>
      <c r="F35" s="72" t="s">
        <v>398</v>
      </c>
      <c r="G35" s="72" t="s">
        <v>399</v>
      </c>
      <c r="H35" s="236"/>
      <c r="I35" s="2"/>
      <c r="J35" s="2"/>
      <c r="K35" s="2"/>
    </row>
    <row r="36" spans="2:11" ht="12.75">
      <c r="B36" s="89">
        <v>8</v>
      </c>
      <c r="C36" s="2" t="s">
        <v>405</v>
      </c>
      <c r="D36" s="2"/>
      <c r="E36" s="5"/>
      <c r="F36" s="30" t="s">
        <v>398</v>
      </c>
      <c r="G36" s="33" t="s">
        <v>399</v>
      </c>
      <c r="H36" s="236"/>
      <c r="I36" s="2"/>
      <c r="J36" s="2"/>
      <c r="K36" s="2"/>
    </row>
    <row r="37" spans="2:11" ht="12.75">
      <c r="B37" s="237">
        <v>9</v>
      </c>
      <c r="C37" s="24" t="s">
        <v>406</v>
      </c>
      <c r="D37" s="24"/>
      <c r="E37" s="26"/>
      <c r="F37" s="72" t="s">
        <v>398</v>
      </c>
      <c r="G37" s="72" t="s">
        <v>399</v>
      </c>
      <c r="H37" s="236"/>
      <c r="I37" s="2"/>
      <c r="J37" s="2"/>
      <c r="K37" s="2"/>
    </row>
    <row r="38" spans="2:11" ht="12.75">
      <c r="B38" s="279"/>
      <c r="C38" s="2"/>
      <c r="D38" s="2"/>
      <c r="E38" s="2"/>
      <c r="F38" s="2"/>
      <c r="G38" s="2"/>
      <c r="H38" s="2"/>
      <c r="I38" s="2"/>
      <c r="J38" s="2"/>
      <c r="K38" s="2"/>
    </row>
    <row r="39" spans="2:11" ht="12.75">
      <c r="B39" s="12">
        <v>2</v>
      </c>
      <c r="C39" s="4" t="s">
        <v>407</v>
      </c>
      <c r="D39" s="2"/>
      <c r="E39" s="2"/>
      <c r="F39" s="236"/>
      <c r="G39" s="236"/>
      <c r="H39" s="36"/>
      <c r="I39" s="36"/>
      <c r="J39" s="2"/>
      <c r="K39" s="2"/>
    </row>
    <row r="40" spans="2:11" ht="12.75">
      <c r="B40" s="279"/>
      <c r="C40" s="2" t="s">
        <v>408</v>
      </c>
      <c r="D40" s="2"/>
      <c r="E40" s="2"/>
      <c r="F40" s="36"/>
      <c r="G40" s="238"/>
      <c r="H40" s="36"/>
      <c r="I40" s="36"/>
      <c r="J40" s="2"/>
      <c r="K40" s="2"/>
    </row>
    <row r="41" spans="2:11" ht="12.75">
      <c r="B41" s="274"/>
      <c r="C41" s="274"/>
      <c r="D41" s="274"/>
      <c r="E41" s="274"/>
      <c r="F41" s="274"/>
      <c r="G41" s="274"/>
      <c r="H41" s="274"/>
      <c r="I41" s="274"/>
      <c r="J41" s="274"/>
      <c r="K41" s="2"/>
    </row>
    <row r="42" spans="2:11" ht="12.75">
      <c r="B42" s="12">
        <v>3</v>
      </c>
      <c r="C42" s="4" t="s">
        <v>409</v>
      </c>
      <c r="D42" s="2"/>
      <c r="E42" s="2"/>
      <c r="F42" s="36"/>
      <c r="G42" s="238"/>
      <c r="H42" s="36"/>
      <c r="I42" s="36"/>
      <c r="J42" s="2"/>
      <c r="K42" s="2"/>
    </row>
    <row r="43" spans="2:11" ht="12.75">
      <c r="B43" s="279"/>
      <c r="C43" s="2" t="s">
        <v>410</v>
      </c>
      <c r="D43" s="2"/>
      <c r="E43" s="2"/>
      <c r="F43" s="36"/>
      <c r="G43" s="238"/>
      <c r="H43" s="36"/>
      <c r="I43" s="36"/>
      <c r="J43" s="2"/>
      <c r="K43" s="2"/>
    </row>
    <row r="44" spans="2:11" ht="12.75">
      <c r="B44" s="2"/>
      <c r="C44" s="2" t="s">
        <v>411</v>
      </c>
      <c r="D44" s="2"/>
      <c r="E44" s="2"/>
      <c r="F44" s="2"/>
      <c r="G44" s="2"/>
      <c r="H44" s="236"/>
      <c r="I44" s="2"/>
      <c r="J44" s="2"/>
      <c r="K44" s="2"/>
    </row>
    <row r="45" spans="2:11" ht="12.75">
      <c r="B45" s="21"/>
      <c r="C45" s="21"/>
      <c r="D45" s="21"/>
      <c r="E45" s="21"/>
      <c r="F45" s="21"/>
      <c r="G45" s="21"/>
      <c r="H45" s="21"/>
      <c r="I45" s="21"/>
      <c r="J45" s="21"/>
      <c r="K45" s="2"/>
    </row>
    <row r="46" spans="2:11" ht="12.75">
      <c r="B46" s="239">
        <v>4</v>
      </c>
      <c r="C46" s="303" t="s">
        <v>297</v>
      </c>
      <c r="D46" s="303"/>
      <c r="E46" s="275"/>
      <c r="F46" s="275"/>
      <c r="G46" s="275"/>
      <c r="H46" s="275"/>
      <c r="I46" s="275"/>
      <c r="J46" s="275"/>
      <c r="K46" s="2"/>
    </row>
    <row r="47" spans="2:11" ht="32.25" customHeight="1">
      <c r="B47" s="21"/>
      <c r="C47" s="280" t="s">
        <v>412</v>
      </c>
      <c r="D47" s="280"/>
      <c r="E47" s="280"/>
      <c r="F47" s="280"/>
      <c r="G47" s="280"/>
      <c r="H47" s="280"/>
      <c r="I47" s="280"/>
      <c r="J47" s="280"/>
      <c r="K47" s="2"/>
    </row>
    <row r="48" spans="2:11" ht="12.75">
      <c r="B48" s="21"/>
      <c r="C48" s="21"/>
      <c r="D48" s="21"/>
      <c r="E48" s="21"/>
      <c r="F48" s="21"/>
      <c r="G48" s="21"/>
      <c r="H48" s="21"/>
      <c r="I48" s="21"/>
      <c r="J48" s="21"/>
      <c r="K48" s="2"/>
    </row>
    <row r="49" spans="2:11" ht="12.75">
      <c r="B49" s="280" t="s">
        <v>413</v>
      </c>
      <c r="C49" s="280"/>
      <c r="D49" s="280"/>
      <c r="E49" s="280"/>
      <c r="F49" s="280"/>
      <c r="G49" s="280"/>
      <c r="H49" s="21"/>
      <c r="I49" s="21"/>
      <c r="J49" s="21"/>
      <c r="K49" s="2"/>
    </row>
    <row r="50" spans="2:11" ht="12.75">
      <c r="B50" s="4"/>
      <c r="C50" s="2"/>
      <c r="D50" s="2"/>
      <c r="E50" s="2"/>
      <c r="F50" s="2"/>
      <c r="G50" s="2"/>
      <c r="H50" s="1"/>
      <c r="I50" s="1"/>
      <c r="J50" s="1"/>
      <c r="K50" s="2"/>
    </row>
    <row r="51" spans="2:11" ht="12.75">
      <c r="B51" s="2" t="s">
        <v>414</v>
      </c>
      <c r="C51" s="1"/>
      <c r="D51" s="2"/>
      <c r="E51" s="2"/>
      <c r="F51" s="2"/>
      <c r="G51" s="2"/>
      <c r="H51" s="1"/>
      <c r="I51" s="1"/>
      <c r="J51" s="1"/>
      <c r="K51" s="2"/>
    </row>
    <row r="52" spans="2:11" ht="12.75">
      <c r="B52" s="4"/>
      <c r="C52" s="2"/>
      <c r="D52" s="2"/>
      <c r="E52" s="2"/>
      <c r="F52" s="2"/>
      <c r="G52" s="2"/>
      <c r="H52" s="1"/>
      <c r="I52" s="1"/>
      <c r="J52" s="1"/>
      <c r="K52" s="2"/>
    </row>
    <row r="53" spans="2:11" ht="12.75">
      <c r="B53" s="4"/>
      <c r="C53" s="2"/>
      <c r="D53" s="2"/>
      <c r="E53" s="2"/>
      <c r="F53" s="2"/>
      <c r="G53" s="2"/>
      <c r="H53" s="1"/>
      <c r="I53" s="1"/>
      <c r="J53" s="1"/>
      <c r="K53" s="2"/>
    </row>
    <row r="54" spans="2:11" ht="12.75">
      <c r="B54" s="1"/>
      <c r="C54" s="1"/>
      <c r="D54" s="1"/>
      <c r="E54" s="1"/>
      <c r="F54" s="1"/>
      <c r="G54" s="2"/>
      <c r="H54" s="2"/>
      <c r="I54" s="2"/>
      <c r="J54" s="2"/>
      <c r="K54" s="2"/>
    </row>
    <row r="55" spans="2:11" ht="12.75">
      <c r="B55" s="4" t="s">
        <v>0</v>
      </c>
      <c r="C55" s="1"/>
      <c r="D55" s="2"/>
      <c r="E55" s="1"/>
      <c r="F55" s="1"/>
      <c r="G55" s="2"/>
      <c r="H55" s="2"/>
      <c r="I55" s="2"/>
      <c r="J55" s="2"/>
      <c r="K55" s="2"/>
    </row>
    <row r="56" spans="2:11" ht="12.75">
      <c r="B56" s="4"/>
      <c r="C56" s="1"/>
      <c r="D56" s="2"/>
      <c r="E56" s="1"/>
      <c r="F56" s="1"/>
      <c r="G56" s="2"/>
      <c r="H56" s="2"/>
      <c r="I56" s="2"/>
      <c r="J56" s="2"/>
      <c r="K56" s="2"/>
    </row>
    <row r="57" spans="2:11" ht="12.75">
      <c r="B57" s="4"/>
      <c r="C57" s="1"/>
      <c r="D57" s="1"/>
      <c r="E57" s="1"/>
      <c r="F57" s="1"/>
      <c r="G57" s="2"/>
      <c r="H57" s="2"/>
      <c r="I57" s="2"/>
      <c r="J57" s="2"/>
      <c r="K57" s="2"/>
    </row>
    <row r="58" spans="2:11" ht="12.75">
      <c r="B58" s="4" t="s">
        <v>415</v>
      </c>
      <c r="C58" s="1"/>
      <c r="D58" s="2"/>
      <c r="E58" s="2"/>
      <c r="F58" s="2"/>
      <c r="G58" s="2"/>
      <c r="H58" s="2"/>
      <c r="I58" s="2"/>
      <c r="J58" s="2"/>
      <c r="K58" s="2"/>
    </row>
    <row r="59" spans="2:11" ht="12.75">
      <c r="B59" s="2">
        <v>1</v>
      </c>
      <c r="C59" s="2" t="s">
        <v>416</v>
      </c>
      <c r="D59" s="2"/>
      <c r="E59" s="2"/>
      <c r="F59" s="2"/>
      <c r="G59" s="2"/>
      <c r="H59" s="2"/>
      <c r="I59" s="2"/>
      <c r="J59" s="2"/>
      <c r="K59" s="2"/>
    </row>
    <row r="60" spans="2:11" ht="12.75">
      <c r="B60" s="2">
        <v>2</v>
      </c>
      <c r="C60" s="2" t="s">
        <v>417</v>
      </c>
      <c r="D60" s="2"/>
      <c r="E60" s="2"/>
      <c r="F60" s="2"/>
      <c r="G60" s="2"/>
      <c r="H60" s="2"/>
      <c r="I60" s="2"/>
      <c r="J60" s="2"/>
      <c r="K60" s="2"/>
    </row>
    <row r="61" spans="2:11" ht="12.75">
      <c r="B61" s="2">
        <v>3</v>
      </c>
      <c r="C61" s="2" t="s">
        <v>418</v>
      </c>
      <c r="D61" s="2"/>
      <c r="E61" s="2"/>
      <c r="F61" s="2"/>
      <c r="G61" s="2"/>
      <c r="H61" s="2"/>
      <c r="I61" s="2"/>
      <c r="J61" s="2"/>
      <c r="K61" s="2"/>
    </row>
    <row r="62" spans="2:11" ht="12.75">
      <c r="B62" s="4"/>
      <c r="C62" s="2"/>
      <c r="D62" s="2"/>
      <c r="E62" s="2"/>
      <c r="F62" s="2"/>
      <c r="G62" s="2"/>
      <c r="H62" s="2"/>
      <c r="I62" s="2"/>
      <c r="J62" s="2"/>
      <c r="K62" s="1"/>
    </row>
    <row r="63" spans="2:11" ht="12.75">
      <c r="B63" s="2" t="s">
        <v>419</v>
      </c>
      <c r="C63" s="2"/>
      <c r="D63" s="2"/>
      <c r="E63" s="2"/>
      <c r="F63" s="2"/>
      <c r="G63" s="2"/>
      <c r="H63" s="2"/>
      <c r="I63" s="2"/>
      <c r="J63" s="2"/>
      <c r="K63" s="1"/>
    </row>
    <row r="64" spans="2:11" ht="12.75">
      <c r="B64" s="4"/>
      <c r="C64" s="2"/>
      <c r="D64" s="2"/>
      <c r="E64" s="2"/>
      <c r="F64" s="2"/>
      <c r="G64" s="2"/>
      <c r="H64" s="2"/>
      <c r="I64" s="2"/>
      <c r="J64" s="2"/>
      <c r="K64" s="1"/>
    </row>
    <row r="65" spans="2:11" ht="12.75">
      <c r="B65" s="2" t="s">
        <v>420</v>
      </c>
      <c r="C65" s="2"/>
      <c r="D65" s="301">
        <v>13325</v>
      </c>
      <c r="E65" s="302"/>
      <c r="F65" s="2"/>
      <c r="G65" s="279"/>
      <c r="H65" s="2"/>
      <c r="I65" s="2"/>
      <c r="J65" s="2"/>
      <c r="K65" s="1"/>
    </row>
    <row r="66" spans="2:11" ht="12.75">
      <c r="B66" s="2" t="s">
        <v>421</v>
      </c>
      <c r="C66" s="2"/>
      <c r="D66" s="301">
        <v>13366</v>
      </c>
      <c r="E66" s="302"/>
      <c r="F66" s="2"/>
      <c r="G66" s="2"/>
      <c r="H66" s="2"/>
      <c r="I66" s="2"/>
      <c r="J66" s="2"/>
      <c r="K66" s="1"/>
    </row>
    <row r="67" spans="2:11" ht="12.75">
      <c r="B67" s="1"/>
      <c r="C67" s="1"/>
      <c r="D67" s="1"/>
      <c r="E67" s="1"/>
      <c r="F67" s="1"/>
      <c r="G67" s="1"/>
      <c r="H67" s="1"/>
      <c r="I67" s="1"/>
      <c r="J67" s="1"/>
      <c r="K67" s="1"/>
    </row>
    <row r="68" spans="2:11" ht="12.75">
      <c r="B68" s="1"/>
      <c r="C68" s="1"/>
      <c r="D68" s="1"/>
      <c r="E68" s="1"/>
      <c r="F68" s="1"/>
      <c r="G68" s="1"/>
      <c r="H68" s="1"/>
      <c r="I68" s="1"/>
      <c r="J68" s="1"/>
      <c r="K68" s="1"/>
    </row>
    <row r="69" spans="2:11" ht="12.75">
      <c r="B69" s="1"/>
      <c r="C69" s="1"/>
      <c r="D69" s="1"/>
      <c r="E69" s="1"/>
      <c r="F69" s="1"/>
      <c r="G69" s="1"/>
      <c r="H69" s="1"/>
      <c r="I69" s="1"/>
      <c r="J69" s="1"/>
      <c r="K69" s="1"/>
    </row>
    <row r="70" spans="2:11" ht="12.75">
      <c r="B70" s="1"/>
      <c r="C70" s="1"/>
      <c r="D70" s="1"/>
      <c r="E70" s="1"/>
      <c r="F70" s="1"/>
      <c r="G70" s="1"/>
      <c r="H70" s="1"/>
      <c r="I70" s="1"/>
      <c r="J70" s="1"/>
      <c r="K70" s="1"/>
    </row>
    <row r="71" spans="2:11" ht="12.75">
      <c r="B71" s="1"/>
      <c r="C71" s="1"/>
      <c r="D71" s="1"/>
      <c r="E71" s="1"/>
      <c r="F71" s="1"/>
      <c r="G71" s="1"/>
      <c r="H71" s="1"/>
      <c r="I71" s="1"/>
      <c r="J71" s="1"/>
      <c r="K71" s="1"/>
    </row>
    <row r="72" spans="2:11" ht="12.75">
      <c r="B72" s="1"/>
      <c r="C72" s="1"/>
      <c r="D72" s="1"/>
      <c r="E72" s="1"/>
      <c r="F72" s="1"/>
      <c r="G72" s="1"/>
      <c r="H72" s="1"/>
      <c r="I72" s="1"/>
      <c r="J72" s="1"/>
      <c r="K72" s="1"/>
    </row>
    <row r="73" spans="2:11" ht="12.75">
      <c r="B73" s="1"/>
      <c r="C73" s="1"/>
      <c r="D73" s="1"/>
      <c r="E73" s="1"/>
      <c r="F73" s="1"/>
      <c r="G73" s="1"/>
      <c r="H73" s="1"/>
      <c r="I73" s="1"/>
      <c r="J73" s="1"/>
      <c r="K73" s="1"/>
    </row>
    <row r="74" spans="2:11" ht="12.75">
      <c r="B74" s="1"/>
      <c r="C74" s="1"/>
      <c r="D74" s="1"/>
      <c r="E74" s="1"/>
      <c r="F74" s="1"/>
      <c r="G74" s="1"/>
      <c r="H74" s="1"/>
      <c r="I74" s="1"/>
      <c r="J74" s="1"/>
      <c r="K74" s="1"/>
    </row>
  </sheetData>
  <mergeCells count="7">
    <mergeCell ref="D66:E66"/>
    <mergeCell ref="B11:K11"/>
    <mergeCell ref="B22:J22"/>
    <mergeCell ref="C46:D46"/>
    <mergeCell ref="C47:J47"/>
    <mergeCell ref="B49:G49"/>
    <mergeCell ref="D65:E6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4FA54-285B-49B2-9C72-4A064BF08D01}">
  <dimension ref="A2:O110"/>
  <sheetViews>
    <sheetView topLeftCell="A25" workbookViewId="0">
      <selection activeCell="B31" sqref="B31"/>
    </sheetView>
  </sheetViews>
  <sheetFormatPr defaultRowHeight="12.75"/>
  <cols>
    <col min="1" max="1" width="4.33203125" style="1" customWidth="1"/>
    <col min="2" max="2" width="17.83203125" style="1" customWidth="1"/>
    <col min="3" max="3" width="18.1640625" style="1" customWidth="1"/>
    <col min="4" max="4" width="14.1640625" style="1" customWidth="1"/>
    <col min="5" max="5" width="13" style="1" customWidth="1"/>
    <col min="6" max="6" width="14" style="1" customWidth="1"/>
    <col min="7" max="7" width="26.33203125" style="1" customWidth="1"/>
    <col min="8" max="8" width="4.83203125" style="1" customWidth="1"/>
    <col min="9" max="9" width="14.5" style="1" customWidth="1"/>
    <col min="10" max="10" width="15.33203125" style="1" customWidth="1"/>
    <col min="11" max="11" width="22.1640625" style="1" customWidth="1"/>
    <col min="12" max="12" width="6.5" style="1" customWidth="1"/>
    <col min="13" max="13" width="11.5" style="1" customWidth="1"/>
    <col min="14" max="14" width="5.6640625" style="1" customWidth="1"/>
    <col min="15" max="15" width="5.5" style="1" customWidth="1"/>
    <col min="16" max="16384" width="9.33203125" style="1"/>
  </cols>
  <sheetData>
    <row r="2" spans="1:15" ht="13.5" thickBot="1"/>
    <row r="3" spans="1:15" ht="16.5" thickBot="1">
      <c r="A3" s="2"/>
      <c r="B3" s="304" t="s">
        <v>422</v>
      </c>
      <c r="C3" s="305"/>
      <c r="D3" s="305"/>
      <c r="E3" s="305"/>
      <c r="F3" s="305"/>
      <c r="G3" s="306"/>
      <c r="H3" s="2"/>
      <c r="I3" s="2"/>
      <c r="O3" s="2"/>
    </row>
    <row r="4" spans="1:15">
      <c r="A4" s="2"/>
      <c r="B4" s="2"/>
      <c r="C4" s="2"/>
      <c r="D4" s="2"/>
      <c r="E4" s="2"/>
      <c r="F4" s="2"/>
      <c r="G4" s="2"/>
      <c r="H4" s="2"/>
      <c r="I4" s="2"/>
      <c r="O4" s="2"/>
    </row>
    <row r="5" spans="1:15">
      <c r="A5" s="2"/>
      <c r="B5" s="2" t="s">
        <v>423</v>
      </c>
      <c r="C5" s="2"/>
      <c r="D5" s="2"/>
      <c r="E5" s="4" t="s">
        <v>15</v>
      </c>
      <c r="F5" s="2" t="str">
        <f>Sheet1!C8</f>
        <v>SK/2025-26/OICL/116</v>
      </c>
      <c r="G5" s="2"/>
      <c r="H5" s="2"/>
      <c r="I5" s="2"/>
      <c r="O5" s="2"/>
    </row>
    <row r="6" spans="1:15">
      <c r="A6" s="2"/>
      <c r="B6" s="2" t="s">
        <v>424</v>
      </c>
      <c r="C6" s="2"/>
      <c r="D6" s="2"/>
      <c r="E6" s="4" t="s">
        <v>15</v>
      </c>
      <c r="F6" s="279" t="s">
        <v>425</v>
      </c>
      <c r="G6" s="2"/>
      <c r="H6" s="2"/>
      <c r="I6" s="2"/>
      <c r="O6" s="2"/>
    </row>
    <row r="7" spans="1:15">
      <c r="A7" s="2"/>
      <c r="B7" s="2" t="s">
        <v>426</v>
      </c>
      <c r="C7" s="2"/>
      <c r="D7" s="2"/>
      <c r="E7" s="4" t="s">
        <v>15</v>
      </c>
      <c r="F7" s="2" t="str">
        <f>Sheet1!G18</f>
        <v>Mr JAGDEEP KUMAR</v>
      </c>
      <c r="G7" s="2"/>
      <c r="H7" s="2"/>
      <c r="I7" s="2"/>
      <c r="O7" s="2"/>
    </row>
    <row r="8" spans="1:15">
      <c r="A8" s="2"/>
      <c r="B8" s="2" t="s">
        <v>427</v>
      </c>
      <c r="C8" s="2"/>
      <c r="D8" s="2"/>
      <c r="E8" s="4" t="s">
        <v>15</v>
      </c>
      <c r="F8" s="279" t="str">
        <f>Sheet1!G16</f>
        <v>231203/31/2025/7146</v>
      </c>
      <c r="G8" s="2"/>
      <c r="H8" s="2"/>
      <c r="I8" s="2"/>
      <c r="O8" s="2"/>
    </row>
    <row r="9" spans="1:15">
      <c r="A9" s="2"/>
      <c r="B9" s="2" t="s">
        <v>428</v>
      </c>
      <c r="C9" s="2"/>
      <c r="D9" s="2"/>
      <c r="E9" s="4" t="s">
        <v>15</v>
      </c>
      <c r="F9" s="2" t="str">
        <f>Sheet1!K16</f>
        <v>22.03.2025 to 21.03.2026</v>
      </c>
      <c r="G9" s="2"/>
      <c r="H9" s="2"/>
      <c r="I9" s="2"/>
      <c r="O9" s="2"/>
    </row>
    <row r="10" spans="1:15">
      <c r="A10" s="2"/>
      <c r="B10" s="2" t="s">
        <v>429</v>
      </c>
      <c r="C10" s="2"/>
      <c r="D10" s="2"/>
      <c r="E10" s="4" t="s">
        <v>15</v>
      </c>
      <c r="F10" s="22" t="str">
        <f>Sheet1!G25</f>
        <v>HR 20AY 7179</v>
      </c>
      <c r="G10" s="2"/>
      <c r="H10" s="2"/>
      <c r="I10" s="2"/>
      <c r="O10" s="2"/>
    </row>
    <row r="11" spans="1:15">
      <c r="A11" s="2"/>
      <c r="B11" s="2" t="s">
        <v>430</v>
      </c>
      <c r="C11" s="2"/>
      <c r="D11" s="2"/>
      <c r="E11" s="4" t="s">
        <v>15</v>
      </c>
      <c r="F11" s="2" t="str">
        <f>Sheet1!G31</f>
        <v>SKODA KUSHAQ STYLE 1.0 TSI AT/2023</v>
      </c>
      <c r="G11" s="2"/>
      <c r="H11" s="2"/>
      <c r="I11" s="2"/>
      <c r="O11" s="2"/>
    </row>
    <row r="12" spans="1:15" ht="12.75" customHeight="1">
      <c r="A12" s="2"/>
      <c r="B12" s="2"/>
      <c r="C12" s="2"/>
      <c r="D12" s="2"/>
      <c r="E12" s="2"/>
      <c r="F12" s="2"/>
      <c r="G12" s="2"/>
      <c r="H12" s="2"/>
      <c r="I12" s="2"/>
      <c r="O12" s="2"/>
    </row>
    <row r="13" spans="1:15">
      <c r="A13" s="2"/>
      <c r="B13" s="4" t="s">
        <v>431</v>
      </c>
      <c r="C13" s="2"/>
      <c r="D13" s="2"/>
      <c r="E13" s="2"/>
      <c r="F13" s="2"/>
      <c r="G13" s="2"/>
      <c r="H13" s="2"/>
      <c r="I13" s="2"/>
      <c r="O13" s="2"/>
    </row>
    <row r="14" spans="1:15">
      <c r="A14" s="2"/>
      <c r="B14" s="79" t="s">
        <v>432</v>
      </c>
      <c r="C14" s="73"/>
      <c r="D14" s="73"/>
      <c r="E14" s="94" t="s">
        <v>15</v>
      </c>
      <c r="F14" s="73" t="str">
        <f>Sheet1!G52</f>
        <v>13.02.2026 about 9:45 AM</v>
      </c>
      <c r="G14" s="148"/>
      <c r="H14" s="2"/>
      <c r="I14" s="2"/>
      <c r="O14" s="2"/>
    </row>
    <row r="15" spans="1:15">
      <c r="A15" s="2"/>
      <c r="B15" s="240" t="s">
        <v>433</v>
      </c>
      <c r="C15" s="24"/>
      <c r="D15" s="24"/>
      <c r="E15" s="241" t="s">
        <v>15</v>
      </c>
      <c r="F15" s="24" t="str">
        <f>Sheet1!G53</f>
        <v>Sector-34, Chandigarh</v>
      </c>
      <c r="G15" s="26"/>
      <c r="H15" s="2"/>
      <c r="I15" s="2"/>
      <c r="O15" s="2"/>
    </row>
    <row r="16" spans="1:15">
      <c r="A16" s="2"/>
      <c r="B16" s="6" t="s">
        <v>434</v>
      </c>
      <c r="C16" s="7"/>
      <c r="D16" s="7"/>
      <c r="E16" s="51" t="s">
        <v>15</v>
      </c>
      <c r="F16" s="54" t="s">
        <v>435</v>
      </c>
      <c r="G16" s="8"/>
      <c r="H16" s="2"/>
      <c r="I16" s="2"/>
      <c r="O16" s="2"/>
    </row>
    <row r="17" spans="1:15" ht="10.5" customHeight="1">
      <c r="A17" s="2"/>
      <c r="B17" s="2"/>
      <c r="C17" s="2"/>
      <c r="D17" s="2"/>
      <c r="E17" s="2"/>
      <c r="F17" s="2"/>
      <c r="G17" s="2"/>
      <c r="H17" s="2"/>
      <c r="I17" s="2"/>
      <c r="O17" s="2"/>
    </row>
    <row r="18" spans="1:15">
      <c r="A18" s="2"/>
      <c r="B18" s="4" t="s">
        <v>436</v>
      </c>
      <c r="C18" s="2"/>
      <c r="D18" s="2"/>
      <c r="E18" s="2"/>
      <c r="F18" s="2"/>
      <c r="G18" s="2"/>
      <c r="H18" s="2"/>
      <c r="I18" s="2"/>
      <c r="O18" s="2"/>
    </row>
    <row r="19" spans="1:15" ht="28.5" customHeight="1">
      <c r="A19" s="2"/>
      <c r="B19" s="307" t="str">
        <f>Sheet1!C72</f>
        <v>" Insured was going to his office. On the way, another vehicle hit Insured's car from back right side. "</v>
      </c>
      <c r="C19" s="308"/>
      <c r="D19" s="308"/>
      <c r="E19" s="308"/>
      <c r="F19" s="308"/>
      <c r="G19" s="309"/>
      <c r="H19" s="274"/>
      <c r="I19" s="2"/>
      <c r="O19" s="2"/>
    </row>
    <row r="20" spans="1:15" ht="12.75" customHeight="1">
      <c r="A20" s="2"/>
      <c r="B20" s="2"/>
      <c r="C20" s="2"/>
      <c r="D20" s="2"/>
      <c r="E20" s="2"/>
      <c r="F20" s="2"/>
      <c r="G20" s="2"/>
      <c r="H20" s="2"/>
      <c r="I20" s="2"/>
      <c r="O20" s="2"/>
    </row>
    <row r="21" spans="1:15">
      <c r="A21" s="2"/>
      <c r="B21" s="4" t="s">
        <v>437</v>
      </c>
      <c r="C21" s="2"/>
      <c r="D21" s="2"/>
      <c r="E21" s="2"/>
      <c r="F21" s="2"/>
      <c r="G21" s="2"/>
      <c r="H21" s="2"/>
      <c r="I21" s="2"/>
      <c r="O21" s="2"/>
    </row>
    <row r="22" spans="1:15">
      <c r="A22" s="2"/>
      <c r="B22" s="23" t="s">
        <v>438</v>
      </c>
      <c r="C22" s="24"/>
      <c r="D22" s="24"/>
      <c r="E22" s="85" t="s">
        <v>15</v>
      </c>
      <c r="F22" s="24" t="str">
        <f>Sheet1!G42</f>
        <v>Mr JAGDEEP KUMAR</v>
      </c>
      <c r="G22" s="26"/>
      <c r="H22" s="2"/>
      <c r="I22" s="2"/>
      <c r="O22" s="2"/>
    </row>
    <row r="23" spans="1:15">
      <c r="A23" s="2"/>
      <c r="B23" s="23" t="s">
        <v>439</v>
      </c>
      <c r="C23" s="24"/>
      <c r="D23" s="24"/>
      <c r="E23" s="85" t="s">
        <v>15</v>
      </c>
      <c r="F23" s="242" t="str">
        <f>Sheet1!G45</f>
        <v>HR-21/52074</v>
      </c>
      <c r="G23" s="26"/>
      <c r="H23" s="2"/>
      <c r="I23" s="2"/>
      <c r="O23" s="2"/>
    </row>
    <row r="24" spans="1:15">
      <c r="A24" s="2"/>
      <c r="B24" s="6" t="s">
        <v>440</v>
      </c>
      <c r="C24" s="7"/>
      <c r="D24" s="7"/>
      <c r="E24" s="51" t="s">
        <v>15</v>
      </c>
      <c r="F24" s="248" t="str">
        <f>Sheet1!G47</f>
        <v>14.01.2028</v>
      </c>
      <c r="G24" s="8"/>
      <c r="H24" s="2"/>
      <c r="I24" s="2"/>
      <c r="O24" s="2"/>
    </row>
    <row r="25" spans="1:15">
      <c r="A25" s="2"/>
      <c r="B25" s="3" t="s">
        <v>441</v>
      </c>
      <c r="C25" s="2"/>
      <c r="D25" s="2"/>
      <c r="E25" s="4" t="s">
        <v>15</v>
      </c>
      <c r="F25" s="2" t="str">
        <f>Sheet1!G48</f>
        <v>LA-Hansi (NT)</v>
      </c>
      <c r="G25" s="5"/>
      <c r="H25" s="2"/>
      <c r="I25" s="2"/>
      <c r="O25" s="2"/>
    </row>
    <row r="26" spans="1:15">
      <c r="A26" s="2"/>
      <c r="B26" s="23" t="s">
        <v>442</v>
      </c>
      <c r="C26" s="24"/>
      <c r="D26" s="24"/>
      <c r="E26" s="85" t="s">
        <v>15</v>
      </c>
      <c r="F26" s="243" t="str">
        <f>Sheet1!G49</f>
        <v>Permanent for LMV/MCWG only</v>
      </c>
      <c r="G26" s="26"/>
      <c r="H26" s="2"/>
      <c r="I26" s="2"/>
      <c r="O26" s="2"/>
    </row>
    <row r="27" spans="1:15" ht="12.75" customHeight="1">
      <c r="A27" s="2"/>
      <c r="B27" s="2"/>
      <c r="C27" s="2"/>
      <c r="D27" s="2"/>
      <c r="E27" s="2"/>
      <c r="F27" s="2"/>
      <c r="G27" s="2"/>
      <c r="H27" s="2"/>
      <c r="I27" s="2"/>
      <c r="O27" s="2"/>
    </row>
    <row r="28" spans="1:15">
      <c r="A28" s="2"/>
      <c r="B28" s="82" t="s">
        <v>443</v>
      </c>
      <c r="C28" s="24"/>
      <c r="D28" s="24"/>
      <c r="E28" s="24"/>
      <c r="F28" s="96">
        <f>Sheet1!F146</f>
        <v>82255.935599999997</v>
      </c>
      <c r="G28" s="26"/>
      <c r="H28" s="2"/>
      <c r="I28" s="2"/>
      <c r="O28" s="2"/>
    </row>
    <row r="29" spans="1:15" ht="10.5" customHeight="1">
      <c r="A29" s="2"/>
      <c r="B29" s="4"/>
      <c r="C29" s="2"/>
      <c r="D29" s="2"/>
      <c r="E29" s="2"/>
      <c r="F29" s="2"/>
      <c r="G29" s="2"/>
      <c r="H29" s="2"/>
      <c r="I29" s="2"/>
      <c r="O29" s="2"/>
    </row>
    <row r="30" spans="1:15">
      <c r="A30" s="2"/>
      <c r="B30" s="11" t="s">
        <v>133</v>
      </c>
      <c r="C30" s="2"/>
      <c r="D30" s="2"/>
      <c r="E30" s="2"/>
      <c r="F30" s="2"/>
      <c r="G30" s="2"/>
      <c r="H30" s="2"/>
      <c r="I30" s="2"/>
      <c r="O30" s="2"/>
    </row>
    <row r="31" spans="1:15">
      <c r="A31" s="2"/>
      <c r="B31" s="79" t="s">
        <v>444</v>
      </c>
      <c r="C31" s="73"/>
      <c r="D31" s="73"/>
      <c r="E31" s="73"/>
      <c r="F31" s="80">
        <f>Sheet1!G117</f>
        <v>8354.5061999999998</v>
      </c>
      <c r="G31" s="148"/>
      <c r="H31" s="2"/>
      <c r="I31" s="2"/>
      <c r="O31" s="2"/>
    </row>
    <row r="32" spans="1:15">
      <c r="A32" s="2"/>
      <c r="B32" s="6" t="s">
        <v>445</v>
      </c>
      <c r="C32" s="7"/>
      <c r="D32" s="7"/>
      <c r="E32" s="7"/>
      <c r="F32" s="141"/>
      <c r="G32" s="5"/>
      <c r="H32" s="2"/>
      <c r="I32" s="2"/>
      <c r="O32" s="2"/>
    </row>
    <row r="33" spans="1:15">
      <c r="A33" s="2"/>
      <c r="B33" s="23" t="s">
        <v>446</v>
      </c>
      <c r="C33" s="24"/>
      <c r="D33" s="24"/>
      <c r="E33" s="24"/>
      <c r="F33" s="39">
        <v>960</v>
      </c>
      <c r="G33" s="5"/>
      <c r="H33" s="2"/>
      <c r="I33" s="2"/>
      <c r="O33" s="2"/>
    </row>
    <row r="34" spans="1:15">
      <c r="A34" s="2"/>
      <c r="B34" s="23" t="s">
        <v>447</v>
      </c>
      <c r="C34" s="24"/>
      <c r="D34" s="24"/>
      <c r="E34" s="24"/>
      <c r="F34" s="39">
        <v>0</v>
      </c>
      <c r="G34" s="5"/>
      <c r="H34" s="2"/>
      <c r="I34" s="2"/>
      <c r="O34" s="2"/>
    </row>
    <row r="35" spans="1:15">
      <c r="A35" s="2"/>
      <c r="B35" s="3" t="s">
        <v>448</v>
      </c>
      <c r="C35" s="2"/>
      <c r="D35" s="2"/>
      <c r="E35" s="2"/>
      <c r="F35" s="29">
        <f>Sheet1!I128</f>
        <v>11680</v>
      </c>
      <c r="G35" s="5"/>
      <c r="H35" s="2"/>
      <c r="I35" s="2"/>
      <c r="O35" s="2"/>
    </row>
    <row r="36" spans="1:15">
      <c r="A36" s="2"/>
      <c r="B36" s="23" t="s">
        <v>449</v>
      </c>
      <c r="C36" s="24"/>
      <c r="D36" s="24"/>
      <c r="E36" s="24"/>
      <c r="F36" s="39">
        <f>Sheet1!I135</f>
        <v>2370.6</v>
      </c>
      <c r="G36" s="5"/>
      <c r="H36" s="2"/>
      <c r="I36" s="2"/>
      <c r="O36" s="2"/>
    </row>
    <row r="37" spans="1:15">
      <c r="A37" s="2"/>
      <c r="B37" s="3" t="s">
        <v>450</v>
      </c>
      <c r="C37" s="2"/>
      <c r="D37" s="2"/>
      <c r="E37" s="2"/>
      <c r="F37" s="29">
        <v>0</v>
      </c>
      <c r="G37" s="74"/>
      <c r="H37" s="2"/>
      <c r="I37" s="2"/>
      <c r="O37" s="2"/>
    </row>
    <row r="38" spans="1:15">
      <c r="A38" s="2"/>
      <c r="B38" s="23" t="s">
        <v>451</v>
      </c>
      <c r="C38" s="24"/>
      <c r="D38" s="24"/>
      <c r="E38" s="24"/>
      <c r="F38" s="39">
        <f>[1]Sheet1!G145</f>
        <v>0</v>
      </c>
      <c r="G38" s="74"/>
      <c r="H38" s="2"/>
      <c r="I38" s="2"/>
      <c r="O38" s="2"/>
    </row>
    <row r="39" spans="1:15" ht="13.5" thickBot="1">
      <c r="A39" s="2"/>
      <c r="B39" s="6" t="s">
        <v>452</v>
      </c>
      <c r="C39" s="7"/>
      <c r="D39" s="7"/>
      <c r="E39" s="7"/>
      <c r="F39" s="35">
        <f>[1]Sheet1!G142</f>
        <v>1000</v>
      </c>
      <c r="G39" s="244"/>
      <c r="H39" s="2"/>
      <c r="I39" s="2"/>
      <c r="O39" s="2"/>
    </row>
    <row r="40" spans="1:15">
      <c r="A40" s="2"/>
      <c r="B40" s="6" t="s">
        <v>453</v>
      </c>
      <c r="C40" s="7"/>
      <c r="D40" s="7"/>
      <c r="E40" s="7"/>
      <c r="F40" s="34">
        <v>0</v>
      </c>
      <c r="G40" s="245"/>
      <c r="H40" s="2"/>
      <c r="I40" s="2"/>
      <c r="O40" s="2"/>
    </row>
    <row r="41" spans="1:15" ht="13.5" thickBot="1">
      <c r="A41" s="2"/>
      <c r="B41" s="28" t="s">
        <v>454</v>
      </c>
      <c r="C41" s="7"/>
      <c r="D41" s="7"/>
      <c r="E41" s="7"/>
      <c r="F41" s="246">
        <f>Sheet1!G149</f>
        <v>22795.106200000002</v>
      </c>
      <c r="G41" s="247"/>
      <c r="H41" s="2"/>
      <c r="I41" s="2"/>
      <c r="O41" s="2"/>
    </row>
    <row r="42" spans="1:15">
      <c r="A42" s="2"/>
      <c r="B42" s="2"/>
      <c r="C42" s="2"/>
      <c r="D42" s="2"/>
      <c r="E42" s="2"/>
      <c r="F42" s="2"/>
      <c r="G42" s="2"/>
      <c r="H42" s="2"/>
      <c r="I42" s="2"/>
      <c r="O42" s="2"/>
    </row>
    <row r="43" spans="1:15">
      <c r="A43" s="2"/>
      <c r="B43" s="4" t="s">
        <v>455</v>
      </c>
      <c r="C43" s="2"/>
      <c r="D43" s="2"/>
      <c r="E43" s="2"/>
      <c r="F43" s="2"/>
      <c r="G43" s="2"/>
      <c r="H43" s="2"/>
      <c r="I43" s="2"/>
      <c r="O43" s="2"/>
    </row>
    <row r="44" spans="1:15">
      <c r="A44" s="2"/>
      <c r="B44" s="79" t="s">
        <v>456</v>
      </c>
      <c r="C44" s="73"/>
      <c r="D44" s="73"/>
      <c r="E44" s="94" t="s">
        <v>15</v>
      </c>
      <c r="F44" s="78">
        <v>1500</v>
      </c>
      <c r="G44" s="148"/>
      <c r="H44" s="2"/>
      <c r="I44" s="2"/>
      <c r="O44" s="2"/>
    </row>
    <row r="45" spans="1:15">
      <c r="A45" s="2"/>
      <c r="B45" s="23" t="s">
        <v>457</v>
      </c>
      <c r="C45" s="24"/>
      <c r="D45" s="24"/>
      <c r="E45" s="85" t="s">
        <v>15</v>
      </c>
      <c r="F45" s="93">
        <f>500+140</f>
        <v>640</v>
      </c>
      <c r="G45" s="26"/>
      <c r="H45" s="2"/>
      <c r="I45" s="2"/>
      <c r="O45" s="2"/>
    </row>
    <row r="46" spans="1:15">
      <c r="A46" s="2"/>
      <c r="B46" s="3" t="s">
        <v>458</v>
      </c>
      <c r="C46" s="2"/>
      <c r="D46" s="2"/>
      <c r="E46" s="4" t="s">
        <v>15</v>
      </c>
      <c r="F46" s="36">
        <v>0</v>
      </c>
      <c r="G46" s="5"/>
      <c r="H46" s="2"/>
      <c r="I46" s="2"/>
      <c r="O46" s="2"/>
    </row>
    <row r="47" spans="1:15">
      <c r="A47" s="2"/>
      <c r="B47" s="23" t="s">
        <v>188</v>
      </c>
      <c r="C47" s="24"/>
      <c r="D47" s="24"/>
      <c r="E47" s="24"/>
      <c r="F47" s="96">
        <v>2140</v>
      </c>
      <c r="G47" s="26"/>
      <c r="H47" s="2"/>
      <c r="I47" s="2"/>
      <c r="O47" s="2"/>
    </row>
    <row r="48" spans="1:15">
      <c r="A48" s="2"/>
      <c r="B48" s="2"/>
      <c r="C48" s="2"/>
      <c r="D48" s="2"/>
      <c r="E48" s="2"/>
      <c r="F48" s="2"/>
      <c r="G48" s="2"/>
      <c r="H48" s="2"/>
      <c r="I48" s="2"/>
      <c r="O48" s="2"/>
    </row>
    <row r="49" spans="1:15">
      <c r="A49" s="2"/>
      <c r="B49" s="2"/>
      <c r="C49" s="2"/>
      <c r="D49" s="2"/>
      <c r="E49" s="2"/>
      <c r="F49" s="2"/>
      <c r="G49" s="2"/>
      <c r="H49" s="2"/>
      <c r="I49" s="2"/>
      <c r="O49" s="2"/>
    </row>
    <row r="50" spans="1:15">
      <c r="B50" s="2" t="s">
        <v>459</v>
      </c>
      <c r="C50" s="2"/>
      <c r="D50" s="2"/>
      <c r="E50" s="2"/>
      <c r="G50" s="2"/>
      <c r="H50" s="2"/>
      <c r="I50" s="2"/>
      <c r="O50" s="2"/>
    </row>
    <row r="51" spans="1:15">
      <c r="A51" s="2"/>
      <c r="B51" s="2"/>
      <c r="C51" s="2"/>
      <c r="D51" s="2"/>
      <c r="E51" s="2"/>
      <c r="F51" s="2"/>
      <c r="G51" s="2"/>
      <c r="H51" s="2"/>
      <c r="I51" s="2"/>
      <c r="O51" s="2"/>
    </row>
    <row r="52" spans="1:15">
      <c r="A52" s="2"/>
      <c r="B52" s="2"/>
      <c r="C52" s="2"/>
      <c r="D52" s="2"/>
      <c r="E52" s="2"/>
      <c r="F52" s="2"/>
      <c r="G52" s="2"/>
      <c r="H52" s="2"/>
      <c r="I52" s="2"/>
      <c r="O52" s="2"/>
    </row>
    <row r="53" spans="1:15">
      <c r="A53" s="2"/>
      <c r="B53" s="7"/>
      <c r="C53" s="7"/>
      <c r="D53" s="7"/>
      <c r="E53" s="7"/>
      <c r="F53" s="7"/>
      <c r="G53" s="7"/>
      <c r="H53" s="2"/>
      <c r="I53" s="2"/>
      <c r="O53" s="2"/>
    </row>
    <row r="54" spans="1:15">
      <c r="A54" s="2"/>
      <c r="B54" s="11" t="s">
        <v>460</v>
      </c>
      <c r="C54" s="2"/>
      <c r="D54" s="2"/>
      <c r="E54" s="2"/>
      <c r="F54" s="2"/>
      <c r="G54" s="2"/>
      <c r="H54" s="2"/>
      <c r="I54" s="2"/>
      <c r="O54" s="2"/>
    </row>
    <row r="55" spans="1:15">
      <c r="A55" s="2"/>
      <c r="B55" s="2" t="s">
        <v>461</v>
      </c>
      <c r="C55" s="2"/>
      <c r="D55" s="2"/>
      <c r="E55" s="2"/>
      <c r="F55" s="2" t="s">
        <v>462</v>
      </c>
      <c r="G55" s="2"/>
      <c r="H55" s="2"/>
      <c r="I55" s="2"/>
      <c r="O55" s="2"/>
    </row>
    <row r="56" spans="1:15">
      <c r="A56" s="2"/>
      <c r="B56" s="2"/>
      <c r="C56" s="2"/>
      <c r="D56" s="2"/>
      <c r="E56" s="2"/>
      <c r="F56" s="2" t="s">
        <v>463</v>
      </c>
      <c r="G56" s="2"/>
      <c r="H56" s="2"/>
      <c r="I56" s="2"/>
      <c r="O56" s="2"/>
    </row>
    <row r="57" spans="1:15">
      <c r="A57" s="2"/>
      <c r="B57" s="2"/>
      <c r="C57" s="2"/>
      <c r="D57" s="2"/>
      <c r="E57" s="2"/>
      <c r="F57" s="2"/>
      <c r="G57" s="2"/>
      <c r="H57" s="2"/>
      <c r="I57" s="2"/>
      <c r="O57" s="2"/>
    </row>
    <row r="58" spans="1:15">
      <c r="A58" s="2"/>
      <c r="B58" s="2" t="s">
        <v>464</v>
      </c>
      <c r="C58" s="2"/>
      <c r="D58" s="2"/>
      <c r="E58" s="2"/>
      <c r="F58" s="2" t="s">
        <v>465</v>
      </c>
      <c r="G58" s="2"/>
      <c r="H58" s="2"/>
      <c r="I58" s="2"/>
      <c r="O58" s="2"/>
    </row>
    <row r="59" spans="1:15">
      <c r="A59" s="2"/>
      <c r="B59" s="2"/>
      <c r="C59" s="2"/>
      <c r="D59" s="2"/>
      <c r="E59" s="2"/>
      <c r="F59" s="2"/>
      <c r="G59" s="2"/>
      <c r="H59" s="2"/>
      <c r="I59" s="2"/>
      <c r="O59" s="2"/>
    </row>
    <row r="60" spans="1:15">
      <c r="A60" s="2"/>
      <c r="B60" s="2"/>
      <c r="C60" s="2"/>
      <c r="D60" s="2"/>
      <c r="E60" s="2"/>
      <c r="F60" s="2"/>
      <c r="G60" s="2"/>
      <c r="H60" s="2"/>
      <c r="I60" s="2"/>
      <c r="O60" s="2"/>
    </row>
    <row r="61" spans="1:15">
      <c r="A61" s="2"/>
      <c r="B61" s="2"/>
      <c r="C61" s="2"/>
      <c r="D61" s="2"/>
      <c r="E61" s="2"/>
      <c r="F61" s="2"/>
      <c r="G61" s="2"/>
      <c r="H61" s="2"/>
      <c r="I61" s="2"/>
      <c r="O61" s="2"/>
    </row>
    <row r="62" spans="1:15">
      <c r="I62" s="2"/>
      <c r="O62" s="2"/>
    </row>
    <row r="63" spans="1:15">
      <c r="I63" s="2"/>
      <c r="O63" s="2"/>
    </row>
    <row r="64" spans="1:15">
      <c r="I64" s="2"/>
      <c r="O64" s="2"/>
    </row>
    <row r="65" spans="9:15">
      <c r="I65" s="2"/>
      <c r="O65" s="2"/>
    </row>
    <row r="66" spans="9:15">
      <c r="I66" s="2"/>
      <c r="O66" s="2"/>
    </row>
    <row r="67" spans="9:15">
      <c r="I67" s="2"/>
      <c r="O67" s="2"/>
    </row>
    <row r="68" spans="9:15">
      <c r="I68" s="2"/>
      <c r="O68" s="2"/>
    </row>
    <row r="69" spans="9:15">
      <c r="I69" s="2"/>
      <c r="O69" s="2"/>
    </row>
    <row r="70" spans="9:15">
      <c r="I70" s="2"/>
      <c r="O70" s="2"/>
    </row>
    <row r="71" spans="9:15">
      <c r="I71" s="2"/>
      <c r="O71" s="2"/>
    </row>
    <row r="72" spans="9:15">
      <c r="I72" s="2"/>
      <c r="O72" s="2"/>
    </row>
    <row r="73" spans="9:15">
      <c r="I73" s="2"/>
      <c r="O73" s="2"/>
    </row>
    <row r="74" spans="9:15">
      <c r="I74" s="2"/>
      <c r="O74" s="2"/>
    </row>
    <row r="75" spans="9:15">
      <c r="I75" s="2"/>
      <c r="O75" s="2"/>
    </row>
    <row r="76" spans="9:15">
      <c r="I76" s="2"/>
      <c r="O76" s="2"/>
    </row>
    <row r="77" spans="9:15">
      <c r="I77" s="2"/>
      <c r="O77" s="2"/>
    </row>
    <row r="78" spans="9:15">
      <c r="I78" s="2"/>
      <c r="O78" s="2"/>
    </row>
    <row r="79" spans="9:15">
      <c r="I79" s="2"/>
      <c r="O79" s="2"/>
    </row>
    <row r="80" spans="9:15">
      <c r="I80" s="2"/>
      <c r="O80" s="2"/>
    </row>
    <row r="81" spans="9:15">
      <c r="I81" s="2"/>
      <c r="O81" s="2"/>
    </row>
    <row r="82" spans="9:15">
      <c r="I82" s="2"/>
      <c r="O82" s="2"/>
    </row>
    <row r="83" spans="9:15">
      <c r="I83" s="2"/>
      <c r="O83" s="2"/>
    </row>
    <row r="84" spans="9:15">
      <c r="I84" s="2"/>
      <c r="O84" s="2"/>
    </row>
    <row r="85" spans="9:15">
      <c r="I85" s="2"/>
      <c r="O85" s="2"/>
    </row>
    <row r="86" spans="9:15">
      <c r="I86" s="2"/>
      <c r="O86" s="2"/>
    </row>
    <row r="87" spans="9:15">
      <c r="I87" s="2"/>
      <c r="O87" s="2"/>
    </row>
    <row r="88" spans="9:15">
      <c r="I88" s="2"/>
      <c r="O88" s="2"/>
    </row>
    <row r="89" spans="9:15">
      <c r="I89" s="2"/>
      <c r="O89" s="2"/>
    </row>
    <row r="90" spans="9:15">
      <c r="I90" s="2"/>
      <c r="O90" s="2"/>
    </row>
    <row r="91" spans="9:15">
      <c r="I91" s="2"/>
      <c r="O91" s="2"/>
    </row>
    <row r="92" spans="9:15">
      <c r="I92" s="2"/>
      <c r="O92" s="2"/>
    </row>
    <row r="93" spans="9:15">
      <c r="I93" s="2"/>
      <c r="O93" s="2"/>
    </row>
    <row r="94" spans="9:15">
      <c r="I94" s="2"/>
      <c r="O94" s="2"/>
    </row>
    <row r="95" spans="9:15">
      <c r="I95" s="2"/>
      <c r="O95" s="2"/>
    </row>
    <row r="96" spans="9:15">
      <c r="I96" s="2"/>
      <c r="O96" s="2"/>
    </row>
    <row r="97" spans="9:15">
      <c r="I97" s="2"/>
      <c r="O97" s="2"/>
    </row>
    <row r="98" spans="9:15">
      <c r="I98" s="2"/>
      <c r="O98" s="2"/>
    </row>
    <row r="99" spans="9:15">
      <c r="I99" s="2"/>
      <c r="O99" s="2"/>
    </row>
    <row r="100" spans="9:15">
      <c r="I100" s="2"/>
      <c r="O100" s="2"/>
    </row>
    <row r="101" spans="9:15">
      <c r="I101" s="2"/>
      <c r="O101" s="2"/>
    </row>
    <row r="102" spans="9:15">
      <c r="I102" s="2"/>
      <c r="O102" s="2"/>
    </row>
    <row r="103" spans="9:15">
      <c r="I103" s="2"/>
      <c r="O103" s="2"/>
    </row>
    <row r="104" spans="9:15">
      <c r="I104" s="2"/>
      <c r="O104" s="2"/>
    </row>
    <row r="105" spans="9:15">
      <c r="O105" s="2"/>
    </row>
    <row r="106" spans="9:15">
      <c r="O106" s="2"/>
    </row>
    <row r="107" spans="9:15">
      <c r="O107" s="2"/>
    </row>
    <row r="108" spans="9:15">
      <c r="O108" s="2"/>
    </row>
    <row r="109" spans="9:15">
      <c r="O109" s="2"/>
    </row>
    <row r="110" spans="9:15">
      <c r="O110" s="2"/>
    </row>
  </sheetData>
  <mergeCells count="2">
    <mergeCell ref="B3:G3"/>
    <mergeCell ref="B19:G19"/>
  </mergeCells>
  <printOptions horizontalCentered="1"/>
  <pageMargins left="0.7" right="0.7" top="0.5" bottom="0.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jaswinder</dc:creator>
  <cp:keywords/>
  <dc:description/>
  <cp:lastModifiedBy>DHIRAJ JADAV</cp:lastModifiedBy>
  <cp:revision/>
  <dcterms:created xsi:type="dcterms:W3CDTF">2004-04-03T11:14:20Z</dcterms:created>
  <dcterms:modified xsi:type="dcterms:W3CDTF">2026-04-20T10:36:57Z</dcterms:modified>
  <cp:category/>
  <cp:contentStatus/>
</cp:coreProperties>
</file>