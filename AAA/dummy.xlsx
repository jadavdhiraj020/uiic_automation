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av\Coding\Automation\UIIC\uiic_automation\AAA\"/>
    </mc:Choice>
  </mc:AlternateContent>
  <xr:revisionPtr revIDLastSave="0" documentId="13_ncr:1_{EC95DA5E-D6E8-4DCA-85CC-69AA9431A72D}" xr6:coauthVersionLast="47" xr6:coauthVersionMax="47" xr10:uidLastSave="{00000000-0000-0000-0000-000000000000}"/>
  <bookViews>
    <workbookView xWindow="-108" yWindow="-108" windowWidth="23256" windowHeight="13176" xr2:uid="{0249C969-0BD7-4CC8-B38D-D9EE02361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2" i="1" l="1"/>
  <c r="P204" i="1"/>
  <c r="N204" i="1"/>
  <c r="F190" i="1"/>
  <c r="F188" i="1"/>
  <c r="G178" i="1"/>
  <c r="B169" i="1"/>
  <c r="H168" i="1"/>
  <c r="H164" i="1"/>
  <c r="I162" i="1"/>
  <c r="I164" i="1" s="1"/>
  <c r="H162" i="1"/>
  <c r="G162" i="1"/>
  <c r="G164" i="1" s="1"/>
  <c r="F162" i="1"/>
  <c r="F164" i="1" s="1"/>
  <c r="J136" i="1"/>
  <c r="I136" i="1"/>
  <c r="N203" i="1" s="1"/>
  <c r="P203" i="1" s="1"/>
  <c r="H136" i="1"/>
  <c r="H137" i="1" s="1"/>
  <c r="H138" i="1" s="1"/>
  <c r="G136" i="1"/>
  <c r="G137" i="1" s="1"/>
  <c r="G138" i="1" s="1"/>
  <c r="F136" i="1"/>
  <c r="F137" i="1" s="1"/>
  <c r="F96" i="1"/>
  <c r="J96" i="1" s="1"/>
  <c r="B140" i="1" s="1"/>
  <c r="G140" i="1" s="1"/>
  <c r="K31" i="1"/>
  <c r="I31" i="1"/>
  <c r="K30" i="1"/>
  <c r="I30" i="1"/>
  <c r="F138" i="1" l="1"/>
  <c r="F141" i="1" s="1"/>
  <c r="F142" i="1" s="1"/>
  <c r="F175" i="1" s="1"/>
  <c r="G141" i="1"/>
  <c r="H140" i="1"/>
  <c r="G144" i="1" s="1"/>
  <c r="R203" i="1"/>
  <c r="U203" i="1" s="1"/>
  <c r="H165" i="1"/>
  <c r="I168" i="1" s="1"/>
  <c r="R204" i="1"/>
  <c r="U204" i="1" s="1"/>
  <c r="H169" i="1"/>
  <c r="H170" i="1" s="1"/>
  <c r="F176" i="1" s="1"/>
  <c r="F177" i="1" s="1"/>
  <c r="F179" i="1" s="1"/>
  <c r="N202" i="1"/>
  <c r="P202" i="1" s="1"/>
  <c r="I137" i="1"/>
  <c r="I138" i="1" s="1"/>
  <c r="I141" i="1" s="1"/>
  <c r="N205" i="1" l="1"/>
  <c r="P205" i="1" s="1"/>
  <c r="H141" i="1"/>
  <c r="G142" i="1" s="1"/>
  <c r="G175" i="1" s="1"/>
  <c r="I169" i="1"/>
  <c r="I170" i="1" s="1"/>
  <c r="G172" i="1" s="1"/>
  <c r="G176" i="1" s="1"/>
  <c r="R202" i="1"/>
  <c r="U202" i="1" s="1"/>
  <c r="G177" i="1" l="1"/>
  <c r="G179" i="1" s="1"/>
  <c r="G182" i="1" s="1"/>
  <c r="R205" i="1"/>
  <c r="U205" i="1" s="1"/>
  <c r="U206" i="1" s="1"/>
</calcChain>
</file>

<file path=xl/sharedStrings.xml><?xml version="1.0" encoding="utf-8"?>
<sst xmlns="http://schemas.openxmlformats.org/spreadsheetml/2006/main" count="1004" uniqueCount="378">
  <si>
    <t>Type of Body</t>
  </si>
  <si>
    <t>Class of Vehicle</t>
  </si>
  <si>
    <t>Pre-Accident Condition</t>
  </si>
  <si>
    <t>delhi</t>
  </si>
  <si>
    <t>Er. SUNIL KUMAR</t>
  </si>
  <si>
    <t># 304, Village: Daria,</t>
  </si>
  <si>
    <t>SURVEYOR &amp; LOSS ASSESSOR</t>
  </si>
  <si>
    <t>Near Railway Station, Chandigarh</t>
  </si>
  <si>
    <t>LICENCE NO: 73070   EXPIRY: 08.02.2028</t>
  </si>
  <si>
    <t>Mobile: 098761-35253</t>
  </si>
  <si>
    <t>PAN NO:  AQUPK1480C</t>
  </si>
  <si>
    <t>e-mail:- ksunilsurveyor@gmail.com</t>
  </si>
  <si>
    <t>Ref:</t>
  </si>
  <si>
    <t>SK/2025-26/OICL/9873</t>
  </si>
  <si>
    <t>Date:</t>
  </si>
  <si>
    <t>PRIVATE &amp; CONFIDENTIAL SURVEY REPORT</t>
  </si>
  <si>
    <t>The report is issued by me as Licenced surveyor without prejudice in respect of cause, nature &amp; extent of loss/damages and subject to the terms and conditions of Insurance Policy.</t>
  </si>
  <si>
    <t>a</t>
  </si>
  <si>
    <t>INSURERS</t>
  </si>
  <si>
    <t>:</t>
  </si>
  <si>
    <t>NA</t>
  </si>
  <si>
    <t>IDV=</t>
  </si>
  <si>
    <t>ADDRESS</t>
  </si>
  <si>
    <t>b</t>
  </si>
  <si>
    <t xml:space="preserve">COVER NOTE/POLICY NO.     </t>
  </si>
  <si>
    <t>Period:</t>
  </si>
  <si>
    <t>Nil Depreciation</t>
  </si>
  <si>
    <t>yes</t>
  </si>
  <si>
    <t>c</t>
  </si>
  <si>
    <t>INSURED</t>
  </si>
  <si>
    <t xml:space="preserve">ADDRESS </t>
  </si>
  <si>
    <t>CONTACT NO.</t>
  </si>
  <si>
    <t>d</t>
  </si>
  <si>
    <t>HPA WITH</t>
  </si>
  <si>
    <t>MAGMA FINCORP LTD</t>
  </si>
  <si>
    <t>VEHICLE PARTICULARS</t>
  </si>
  <si>
    <t>RC Original Checked &amp; Found In Order</t>
  </si>
  <si>
    <t>Registration No.</t>
  </si>
  <si>
    <t>HR49H9873</t>
  </si>
  <si>
    <t>Date of Registration issue</t>
  </si>
  <si>
    <t>20.11.2019</t>
  </si>
  <si>
    <t>Date of Registration expiry</t>
  </si>
  <si>
    <t>19.11.2034</t>
  </si>
  <si>
    <t>Physically Checked</t>
  </si>
  <si>
    <t>As Per RC</t>
  </si>
  <si>
    <t>As Per Ins.</t>
  </si>
  <si>
    <t>Chassis No</t>
  </si>
  <si>
    <t>S00546022</t>
  </si>
  <si>
    <t>e</t>
  </si>
  <si>
    <t>Engine No</t>
  </si>
  <si>
    <t>N8272201</t>
  </si>
  <si>
    <t>f</t>
  </si>
  <si>
    <t>Make &amp; Year of Manufacturer</t>
  </si>
  <si>
    <t>MARUTI ALTO K10 VXI</t>
  </si>
  <si>
    <t>g</t>
  </si>
  <si>
    <t>SALOON CAR</t>
  </si>
  <si>
    <t>h</t>
  </si>
  <si>
    <t>Motor Car - NT</t>
  </si>
  <si>
    <t>i</t>
  </si>
  <si>
    <t>Stated to be normal road worthy</t>
  </si>
  <si>
    <t>j</t>
  </si>
  <si>
    <t>Registered Laden Weight</t>
  </si>
  <si>
    <t>k</t>
  </si>
  <si>
    <t>Unladen Weight</t>
  </si>
  <si>
    <t>l</t>
  </si>
  <si>
    <t>Fitness Cert Valid Upto</t>
  </si>
  <si>
    <t>Permit No.</t>
  </si>
  <si>
    <t>Valid Upto</t>
  </si>
  <si>
    <t>Type of Permit</t>
  </si>
  <si>
    <t>Route/area of Operation</t>
  </si>
  <si>
    <t>m</t>
  </si>
  <si>
    <t xml:space="preserve">Seating Capacity </t>
  </si>
  <si>
    <t>n</t>
  </si>
  <si>
    <t>Road Tax Paid Upto</t>
  </si>
  <si>
    <t>19/11/2034</t>
  </si>
  <si>
    <t>Fuel used: PETROL</t>
  </si>
  <si>
    <t>o</t>
  </si>
  <si>
    <t>Name of Regd. Owner as per RC</t>
  </si>
  <si>
    <t>kkk</t>
  </si>
  <si>
    <t>Colour:</t>
  </si>
  <si>
    <t>SUPERIOR WHITE</t>
  </si>
  <si>
    <t>p</t>
  </si>
  <si>
    <t>Cubic capacity</t>
  </si>
  <si>
    <t>DRIVER'S PARTICULARS</t>
  </si>
  <si>
    <t>DL Original Checked &amp; Found In Order</t>
  </si>
  <si>
    <t>Name of Driver</t>
  </si>
  <si>
    <t>JANG SINGH</t>
  </si>
  <si>
    <t>DOB:</t>
  </si>
  <si>
    <t>25.07.1994</t>
  </si>
  <si>
    <t>Address</t>
  </si>
  <si>
    <t>VILL. KARANPUR PO NΑΝΑKPUR,
Pinjore (MC), Kalka, Panchkula, HR, 133302</t>
  </si>
  <si>
    <t/>
  </si>
  <si>
    <t>City/State</t>
  </si>
  <si>
    <t>Panchkula, HR</t>
  </si>
  <si>
    <t xml:space="preserve">LICENCE NO. </t>
  </si>
  <si>
    <t>HR49 2016 0000013</t>
  </si>
  <si>
    <t>HR49/PDL/0000013/2016</t>
  </si>
  <si>
    <t>Date of issue</t>
  </si>
  <si>
    <t>20-09-2016</t>
  </si>
  <si>
    <t>Valid Till</t>
  </si>
  <si>
    <t>Issuing Authority</t>
  </si>
  <si>
    <t>SDM Office Kalka</t>
  </si>
  <si>
    <t>Type of Licence</t>
  </si>
  <si>
    <t>LMV-MCWG</t>
  </si>
  <si>
    <t>initial loss assessment</t>
  </si>
  <si>
    <t>ACCIDENT HISTORY</t>
  </si>
  <si>
    <t>claim no</t>
  </si>
  <si>
    <t>Date of Accident</t>
  </si>
  <si>
    <t>Place of Accident</t>
  </si>
  <si>
    <t>DETAIL OF SURVEY</t>
  </si>
  <si>
    <t>Date of Allotment of Survey</t>
  </si>
  <si>
    <t>Date and Time of Survey</t>
  </si>
  <si>
    <t>20/03/2026</t>
  </si>
  <si>
    <t>at 10 am</t>
  </si>
  <si>
    <t>Date of Spot Survey Report Recd.</t>
  </si>
  <si>
    <t>Spot Survey not received.</t>
  </si>
  <si>
    <t>Person Present at the Time of Survey</t>
  </si>
  <si>
    <t>Repairer was present</t>
  </si>
  <si>
    <t>PLACE OF SURVEY</t>
  </si>
  <si>
    <t>Workshop</t>
  </si>
  <si>
    <t>Govind Motor</t>
  </si>
  <si>
    <t>Pinjore Nalagarh Road Bsola Grada, Near New Petrol Pump, Distt. Panchkula, Haryana - 134112</t>
  </si>
  <si>
    <t>Status</t>
  </si>
  <si>
    <t>SERVICE MANAGER</t>
  </si>
  <si>
    <t>FIR DETAIL</t>
  </si>
  <si>
    <t>Nil (As Per Claim Form)</t>
  </si>
  <si>
    <t>INJURY/THIRD PARTY LOSS</t>
  </si>
  <si>
    <t>CAUSE AND NATURE OF ACCIDENT</t>
  </si>
  <si>
    <t>As stated in the Claim Form,</t>
  </si>
  <si>
    <t>OBERVATIONS/COMMENTS</t>
  </si>
  <si>
    <t>gkrjfkjfdkbgjfkng</t>
  </si>
  <si>
    <t>MAIN DAMAGES</t>
  </si>
  <si>
    <t>fut Bumper, fender LH, fut Door LH, Rear Door LH, Quter Panel LH, Rear Bumper, fender RH, fut Door RH, etc,etc.</t>
  </si>
  <si>
    <t>NOTES:</t>
  </si>
  <si>
    <t>The salvage of the vehicle has been destroyed/crushed in the presence of the Repairer.</t>
  </si>
  <si>
    <t>Re-inspection too has been done by me. All the replacemnets of parts and repair job have been dully carried out.</t>
  </si>
  <si>
    <t>Insured's vehicle has NIL DEP Policy.</t>
  </si>
  <si>
    <t>DETAIL OF ASSESSMENT</t>
  </si>
  <si>
    <t>COMPULSORY DEDUCTIBLE</t>
  </si>
  <si>
    <t>LIFE OF VEHICLE ( IN YEARS )</t>
  </si>
  <si>
    <t>SO, DEP. ON METAL (IN %)</t>
  </si>
  <si>
    <t>GSTIN (IN %) FOR PARTS</t>
  </si>
  <si>
    <t>GSTIN (IN %) FOR LABOUR</t>
  </si>
  <si>
    <t>GST 18%</t>
  </si>
  <si>
    <t>S.N.</t>
  </si>
  <si>
    <t>Part Discription</t>
  </si>
  <si>
    <t>Estimated</t>
  </si>
  <si>
    <t>Metal</t>
  </si>
  <si>
    <t>Plastic</t>
  </si>
  <si>
    <t>Glass</t>
  </si>
  <si>
    <t>Extra</t>
  </si>
  <si>
    <t>Invoice No</t>
  </si>
  <si>
    <t>fut Bumper</t>
  </si>
  <si>
    <t>fender LH</t>
  </si>
  <si>
    <t>fut Door LH</t>
  </si>
  <si>
    <t>N.A.</t>
  </si>
  <si>
    <t>Rear Door LH</t>
  </si>
  <si>
    <t>Quter Panel LH</t>
  </si>
  <si>
    <t>Rear Bumper</t>
  </si>
  <si>
    <t>fender RH</t>
  </si>
  <si>
    <t>fut Door RH</t>
  </si>
  <si>
    <t>Rear Door RH</t>
  </si>
  <si>
    <t>Quter Panel RH</t>
  </si>
  <si>
    <t>Side minor RH</t>
  </si>
  <si>
    <t>Side mirror LH</t>
  </si>
  <si>
    <t>feet Bumper Bubt</t>
  </si>
  <si>
    <t>Flood</t>
  </si>
  <si>
    <t>Carbone Cheye Accedator</t>
  </si>
  <si>
    <t>UNIT HEAD LAMP LH</t>
  </si>
  <si>
    <t>LABOUR CHARGE ACCIDENTAL</t>
  </si>
  <si>
    <t>SUB TOTAL</t>
  </si>
  <si>
    <t>% ADD GST (9%CGST+9%SGST)</t>
  </si>
  <si>
    <t>LESS DEPRECIATION:</t>
  </si>
  <si>
    <t>% OF METAL &amp; 50% OF PLASTIC</t>
  </si>
  <si>
    <t>NET FOR PARTS</t>
  </si>
  <si>
    <t>TOTAL NET FOR PARTS</t>
  </si>
  <si>
    <t>TOTAL AMOUNT OF DEPRECIATION (In Rs):</t>
  </si>
  <si>
    <t>LABOUR DETAIL</t>
  </si>
  <si>
    <t>LABOUR ESTIMATED</t>
  </si>
  <si>
    <t>DESCRIPTION</t>
  </si>
  <si>
    <t>R/R</t>
  </si>
  <si>
    <t>DENTING</t>
  </si>
  <si>
    <t>C/W</t>
  </si>
  <si>
    <t>PAINTING</t>
  </si>
  <si>
    <t>TOTAL (R/R, DENTING, C/W, PAINTING)</t>
  </si>
  <si>
    <t xml:space="preserve">LABOUR </t>
  </si>
  <si>
    <t>Assessed</t>
  </si>
  <si>
    <t>NET FOR LABOUR</t>
  </si>
  <si>
    <t>TOTAL AMOUNT OF LABOUR ASSESSED (in Rs):</t>
  </si>
  <si>
    <t>SUMMARY</t>
  </si>
  <si>
    <t>PARTS</t>
  </si>
  <si>
    <t>LABOUR</t>
  </si>
  <si>
    <t>LESS EXCESS CLAUSE</t>
  </si>
  <si>
    <t>NET PAYABLE</t>
  </si>
  <si>
    <t xml:space="preserve">LESS SALVAGE VALUE </t>
  </si>
  <si>
    <t>NET PAYABLE AMOUNT</t>
  </si>
  <si>
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</si>
  <si>
    <t>Physically Verified Major Assemblies</t>
  </si>
  <si>
    <t>Chassis Number</t>
  </si>
  <si>
    <t>Engine Number</t>
  </si>
  <si>
    <t>PAYMENT MADE IN THE FAVOUR OF REPAIRER</t>
  </si>
  <si>
    <t xml:space="preserve">              SUNIL KUMAR</t>
  </si>
  <si>
    <t>CASHLESS CLAIM</t>
  </si>
  <si>
    <t>SUMMARRY OF GST:</t>
  </si>
  <si>
    <t>HSN/SAC CODE</t>
  </si>
  <si>
    <t>Taxable Amount</t>
  </si>
  <si>
    <t>SGST/UTGST</t>
  </si>
  <si>
    <t>CGST</t>
  </si>
  <si>
    <t>ISGT</t>
  </si>
  <si>
    <t>Total Amount of GST</t>
  </si>
  <si>
    <t>Rate</t>
  </si>
  <si>
    <t>Amt.</t>
  </si>
  <si>
    <t>servey address</t>
  </si>
  <si>
    <t xml:space="preserve">agra </t>
  </si>
  <si>
    <t>Imposed Excess</t>
  </si>
  <si>
    <t>TOTAL AMOUNT OF GST ALLOWED</t>
  </si>
  <si>
    <t>Date of Registration/isurance</t>
  </si>
  <si>
    <t>aaa</t>
  </si>
  <si>
    <t>bbb</t>
  </si>
  <si>
    <t>ccc</t>
  </si>
  <si>
    <t>Claim number</t>
  </si>
  <si>
    <t>35010231260390000105</t>
  </si>
  <si>
    <t xml:space="preserve">time of survey </t>
  </si>
  <si>
    <t>Label (Field Name)</t>
  </si>
  <si>
    <t>Dummy Value (Data)</t>
  </si>
  <si>
    <t>--- SECTION: VEHICLE DETAILS ---</t>
  </si>
  <si>
    <t>Registered Owner Name</t>
  </si>
  <si>
    <t>PRITPAL SINGH</t>
  </si>
  <si>
    <t>Vehicle Registration Number</t>
  </si>
  <si>
    <t>GJ10AB1010</t>
  </si>
  <si>
    <t>Date of Registration</t>
  </si>
  <si>
    <t>19/01/2023</t>
  </si>
  <si>
    <t>Engine No.</t>
  </si>
  <si>
    <t>D4FANM727540</t>
  </si>
  <si>
    <t>Chassis No.</t>
  </si>
  <si>
    <t>MZBGE813LNN064404</t>
  </si>
  <si>
    <t>Physically Verified</t>
  </si>
  <si>
    <t>Yes</t>
  </si>
  <si>
    <t>Vehicle Make</t>
  </si>
  <si>
    <t>KIA</t>
  </si>
  <si>
    <t>Model</t>
  </si>
  <si>
    <t>CARENS</t>
  </si>
  <si>
    <t>SUV</t>
  </si>
  <si>
    <t>Private Car</t>
  </si>
  <si>
    <t>Excellent</t>
  </si>
  <si>
    <t>RTO Name</t>
  </si>
  <si>
    <t>Chandigarh RTO</t>
  </si>
  <si>
    <t>Odometer Reading</t>
  </si>
  <si>
    <t>24,500 km</t>
  </si>
  <si>
    <t>Vehicle Color</t>
  </si>
  <si>
    <t>White</t>
  </si>
  <si>
    <t>Vehicle Color Type</t>
  </si>
  <si>
    <t>AS PER RC</t>
  </si>
  <si>
    <t>Type of Vehicle</t>
  </si>
  <si>
    <t>Type of Fuel</t>
  </si>
  <si>
    <t>Petrol</t>
  </si>
  <si>
    <t>Whether Vehicle Details are matching with policy?</t>
  </si>
  <si>
    <t>Vehicle Details Mismatch Remarks</t>
  </si>
  <si>
    <t>N/A</t>
  </si>
  <si>
    <t>Cause and Nature of Accident</t>
  </si>
  <si>
    <t>Frontal collision with a divider due to sudden braking.</t>
  </si>
  <si>
    <t>Route/Area of Operation</t>
  </si>
  <si>
    <t>City Limits - Sector 17</t>
  </si>
  <si>
    <t>Tax Paid Upto</t>
  </si>
  <si>
    <t>14/05/2036</t>
  </si>
  <si>
    <t>Transfer Date</t>
  </si>
  <si>
    <t>--- SECTION: DRIVER DETAILS ---</t>
  </si>
  <si>
    <t>Was the vehicle parked during accident?</t>
  </si>
  <si>
    <t>No</t>
  </si>
  <si>
    <t>Relationship of the driver with the Insured</t>
  </si>
  <si>
    <t>Self</t>
  </si>
  <si>
    <t>License Type of Driver</t>
  </si>
  <si>
    <t>Transport vehicle</t>
  </si>
  <si>
    <t>DOB of Driver</t>
  </si>
  <si>
    <t>Driver Name</t>
  </si>
  <si>
    <t>Pritpal Singh</t>
  </si>
  <si>
    <t>Age of Driver</t>
  </si>
  <si>
    <t>Is the motor driving license valid?</t>
  </si>
  <si>
    <t>License Issuing Authority</t>
  </si>
  <si>
    <t>RLA Chandigarh</t>
  </si>
  <si>
    <t>Driver Driving License Number</t>
  </si>
  <si>
    <t>CH0120050012345</t>
  </si>
  <si>
    <t>Driver Driving License Issue Date</t>
  </si>
  <si>
    <t>20/01/2005</t>
  </si>
  <si>
    <t>Driver Driving License Expiry Date</t>
  </si>
  <si>
    <t>19/01/2025</t>
  </si>
  <si>
    <t>Badge Number</t>
  </si>
  <si>
    <t>--- SECTION: FIR DETAILS ---</t>
  </si>
  <si>
    <t>FIR Number</t>
  </si>
  <si>
    <t>2024/0456</t>
  </si>
  <si>
    <t>FIR Date</t>
  </si>
  <si>
    <t>19/04/2026</t>
  </si>
  <si>
    <t>Charged U/S Motor Vehicle Act</t>
  </si>
  <si>
    <t>Section 184</t>
  </si>
  <si>
    <t>Charged U/S IPC</t>
  </si>
  <si>
    <t>Section 279</t>
  </si>
  <si>
    <t>Police Station Name</t>
  </si>
  <si>
    <t>Sector 17 Police Station</t>
  </si>
  <si>
    <t>Name of the Informant</t>
  </si>
  <si>
    <t>Satnam Singh</t>
  </si>
  <si>
    <t>Sections of Law</t>
  </si>
  <si>
    <t>IPC 279, 337</t>
  </si>
  <si>
    <t>Remarks</t>
  </si>
  <si>
    <t>FIR filed within 24 hours of incident.</t>
  </si>
  <si>
    <t>--- SECTION: BANK / NEFT DETAILS ---</t>
  </si>
  <si>
    <t>Provide bank details for payment to</t>
  </si>
  <si>
    <t>Insured</t>
  </si>
  <si>
    <t>Policy Holder Name</t>
  </si>
  <si>
    <t>Policy Holder Code</t>
  </si>
  <si>
    <t>POC7902963</t>
  </si>
  <si>
    <t>IFSC Code</t>
  </si>
  <si>
    <t>SBIN0001234</t>
  </si>
  <si>
    <t>Bank Name</t>
  </si>
  <si>
    <t>State Bank of India</t>
  </si>
  <si>
    <t>Bank Branch Name</t>
  </si>
  <si>
    <t>Main Branch, Chandigarh</t>
  </si>
  <si>
    <t>Bank Address</t>
  </si>
  <si>
    <t>Plot No 1, Sector 17, Chandigarh</t>
  </si>
  <si>
    <t>Account Number</t>
  </si>
  <si>
    <t>Re-Enter Account Number</t>
  </si>
  <si>
    <t>Account Type</t>
  </si>
  <si>
    <t>SAVINGS</t>
  </si>
  <si>
    <t>Party Payment Method</t>
  </si>
  <si>
    <t>NEFT</t>
  </si>
  <si>
    <t>--- SECTION: WORK APPROVAL &amp; ASSESSMENT ---</t>
  </si>
  <si>
    <t>Approval Type</t>
  </si>
  <si>
    <t>Cashless approved</t>
  </si>
  <si>
    <t>Work Approval Date</t>
  </si>
  <si>
    <t>22/04/2026</t>
  </si>
  <si>
    <t>Work Approval Time</t>
  </si>
  <si>
    <t>No of invoices available</t>
  </si>
  <si>
    <t>Whether Payment invoice is in name of NIA</t>
  </si>
  <si>
    <t>Is GST Applicable?</t>
  </si>
  <si>
    <t>Vendor/Tax Invoice Date</t>
  </si>
  <si>
    <t>Vendor/Tax Invoice Number</t>
  </si>
  <si>
    <t>INV/KIA/2026/789</t>
  </si>
  <si>
    <t>Primary Assessment</t>
  </si>
  <si>
    <t>Is there any supplementary estimate?</t>
  </si>
  <si>
    <t>Painting work details</t>
  </si>
  <si>
    <t>break-up</t>
  </si>
  <si>
    <t>Whether Re-Inspection Required</t>
  </si>
  <si>
    <t>--- SECTION: ADD-ON COVERS ---</t>
  </si>
  <si>
    <t>Nil Depreciation (Zero Dep) Amount</t>
  </si>
  <si>
    <t>Engine Protect Extension Amount</t>
  </si>
  <si>
    <t>Consumable Items Amount</t>
  </si>
  <si>
    <t>Key Protect Amount</t>
  </si>
  <si>
    <t>--- SECTION: FINAL DEDUCTIONS ---</t>
  </si>
  <si>
    <t>Net Salvage</t>
  </si>
  <si>
    <t>Net Salvage to map with which Invoice?</t>
  </si>
  <si>
    <t>Invoice 1</t>
  </si>
  <si>
    <t>Less Compulsory Excess</t>
  </si>
  <si>
    <t>Less Voluntary Excess</t>
  </si>
  <si>
    <t>Less Imposed Excess</t>
  </si>
  <si>
    <t>Towing / Additional Towing Charges</t>
  </si>
  <si>
    <t>--- FINAL VERIFICATION ---</t>
  </si>
  <si>
    <t>Verification Checkbox</t>
  </si>
  <si>
    <t>Checked (Verified)</t>
  </si>
  <si>
    <t>Claim No.</t>
  </si>
  <si>
    <t>date of servey</t>
  </si>
  <si>
    <t>time of servey</t>
  </si>
  <si>
    <t>place of servey</t>
  </si>
  <si>
    <t xml:space="preserve">remarks </t>
  </si>
  <si>
    <t>Ok</t>
  </si>
  <si>
    <t>mobile no</t>
  </si>
  <si>
    <t>email id</t>
  </si>
  <si>
    <t>FJ@GMAIL.COM</t>
  </si>
  <si>
    <t>transfer date</t>
  </si>
  <si>
    <t>reference no</t>
  </si>
  <si>
    <t>payment to repairer</t>
  </si>
  <si>
    <t>Towing Charges</t>
  </si>
  <si>
    <t>additionol towing charges</t>
  </si>
  <si>
    <t>Less Any Other Deductions</t>
  </si>
  <si>
    <t>professional fee</t>
  </si>
  <si>
    <t xml:space="preserve">photos amount </t>
  </si>
  <si>
    <t>Traveling Charges</t>
  </si>
  <si>
    <t>Any Other Deductions</t>
  </si>
  <si>
    <t>Misc</t>
  </si>
  <si>
    <t>voluntry 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</si>
</sst>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;@"/>
    <numFmt numFmtId="165" formatCode="[$-409]mm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sz val="8"/>
      <color rgb="FFFFFFFF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000D6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FFFFFF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17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4" fillId="0" borderId="13" xfId="0" applyFont="1" applyBorder="1"/>
    <xf numFmtId="0" fontId="2" fillId="0" borderId="9" xfId="0" applyFont="1" applyBorder="1" applyAlignment="1">
      <alignment horizontal="left"/>
    </xf>
    <xf numFmtId="0" fontId="4" fillId="0" borderId="10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justify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/>
    <xf numFmtId="43" fontId="2" fillId="0" borderId="0" xfId="0" applyNumberFormat="1" applyFont="1" applyAlignment="1">
      <alignment horizontal="right"/>
    </xf>
    <xf numFmtId="0" fontId="2" fillId="0" borderId="14" xfId="0" applyFont="1" applyBorder="1"/>
    <xf numFmtId="1" fontId="2" fillId="0" borderId="6" xfId="0" applyNumberFormat="1" applyFont="1" applyBorder="1" applyAlignment="1">
      <alignment horizontal="right"/>
    </xf>
    <xf numFmtId="1" fontId="2" fillId="0" borderId="6" xfId="0" applyNumberFormat="1" applyFont="1" applyBorder="1"/>
    <xf numFmtId="0" fontId="2" fillId="0" borderId="15" xfId="0" applyFont="1" applyBorder="1"/>
    <xf numFmtId="0" fontId="4" fillId="0" borderId="12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8" xfId="0" applyFont="1" applyBorder="1" applyAlignment="1">
      <alignment horizontal="left"/>
    </xf>
    <xf numFmtId="2" fontId="2" fillId="0" borderId="14" xfId="0" applyNumberFormat="1" applyFont="1" applyBorder="1"/>
    <xf numFmtId="0" fontId="2" fillId="0" borderId="16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1" xfId="0" applyFont="1" applyBorder="1"/>
    <xf numFmtId="0" fontId="4" fillId="0" borderId="12" xfId="0" applyFont="1" applyBorder="1"/>
    <xf numFmtId="2" fontId="2" fillId="0" borderId="12" xfId="0" applyNumberFormat="1" applyFont="1" applyBorder="1"/>
    <xf numFmtId="2" fontId="4" fillId="0" borderId="12" xfId="0" applyNumberFormat="1" applyFont="1" applyBorder="1"/>
    <xf numFmtId="2" fontId="4" fillId="0" borderId="11" xfId="0" applyNumberFormat="1" applyFont="1" applyBorder="1"/>
    <xf numFmtId="2" fontId="4" fillId="0" borderId="0" xfId="0" applyNumberFormat="1" applyFont="1"/>
    <xf numFmtId="2" fontId="2" fillId="0" borderId="7" xfId="0" applyNumberFormat="1" applyFont="1" applyBorder="1"/>
    <xf numFmtId="2" fontId="2" fillId="0" borderId="16" xfId="0" applyNumberFormat="1" applyFont="1" applyBorder="1"/>
    <xf numFmtId="2" fontId="2" fillId="0" borderId="0" xfId="0" applyNumberFormat="1" applyFont="1"/>
    <xf numFmtId="1" fontId="2" fillId="0" borderId="1" xfId="0" applyNumberFormat="1" applyFont="1" applyBorder="1" applyAlignment="1">
      <alignment horizontal="right"/>
    </xf>
    <xf numFmtId="2" fontId="2" fillId="0" borderId="11" xfId="0" applyNumberFormat="1" applyFont="1" applyBorder="1"/>
    <xf numFmtId="2" fontId="2" fillId="0" borderId="11" xfId="1" applyNumberFormat="1" applyFont="1" applyFill="1" applyBorder="1"/>
    <xf numFmtId="0" fontId="4" fillId="0" borderId="7" xfId="0" applyFont="1" applyBorder="1"/>
    <xf numFmtId="2" fontId="2" fillId="0" borderId="10" xfId="0" applyNumberFormat="1" applyFont="1" applyBorder="1"/>
    <xf numFmtId="2" fontId="2" fillId="0" borderId="3" xfId="0" applyNumberFormat="1" applyFont="1" applyBorder="1"/>
    <xf numFmtId="2" fontId="2" fillId="0" borderId="5" xfId="0" applyNumberFormat="1" applyFont="1" applyBorder="1"/>
    <xf numFmtId="0" fontId="2" fillId="0" borderId="17" xfId="0" applyFont="1" applyBorder="1"/>
    <xf numFmtId="2" fontId="4" fillId="0" borderId="18" xfId="0" applyNumberFormat="1" applyFont="1" applyBorder="1"/>
    <xf numFmtId="2" fontId="4" fillId="0" borderId="19" xfId="0" applyNumberFormat="1" applyFont="1" applyBorder="1"/>
    <xf numFmtId="0" fontId="2" fillId="0" borderId="20" xfId="0" applyFont="1" applyBorder="1"/>
    <xf numFmtId="2" fontId="4" fillId="0" borderId="0" xfId="0" applyNumberFormat="1" applyFont="1" applyAlignment="1">
      <alignment horizontal="right"/>
    </xf>
    <xf numFmtId="0" fontId="4" fillId="0" borderId="3" xfId="0" applyFont="1" applyBorder="1"/>
    <xf numFmtId="2" fontId="4" fillId="0" borderId="4" xfId="0" applyNumberFormat="1" applyFont="1" applyBorder="1" applyAlignment="1">
      <alignment horizontal="right"/>
    </xf>
    <xf numFmtId="2" fontId="4" fillId="0" borderId="6" xfId="0" applyNumberFormat="1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right"/>
    </xf>
    <xf numFmtId="2" fontId="2" fillId="0" borderId="15" xfId="0" applyNumberFormat="1" applyFont="1" applyBorder="1"/>
    <xf numFmtId="2" fontId="2" fillId="0" borderId="8" xfId="0" applyNumberFormat="1" applyFont="1" applyBorder="1"/>
    <xf numFmtId="2" fontId="2" fillId="0" borderId="1" xfId="0" applyNumberFormat="1" applyFont="1" applyBorder="1"/>
    <xf numFmtId="2" fontId="2" fillId="0" borderId="6" xfId="0" applyNumberFormat="1" applyFont="1" applyBorder="1"/>
    <xf numFmtId="2" fontId="2" fillId="0" borderId="9" xfId="0" applyNumberFormat="1" applyFont="1" applyBorder="1"/>
    <xf numFmtId="2" fontId="4" fillId="2" borderId="18" xfId="0" applyNumberFormat="1" applyFont="1" applyFill="1" applyBorder="1"/>
    <xf numFmtId="2" fontId="2" fillId="2" borderId="21" xfId="0" applyNumberFormat="1" applyFont="1" applyFill="1" applyBorder="1"/>
    <xf numFmtId="0" fontId="4" fillId="0" borderId="15" xfId="0" applyFont="1" applyBorder="1"/>
    <xf numFmtId="2" fontId="2" fillId="0" borderId="4" xfId="0" applyNumberFormat="1" applyFont="1" applyBorder="1"/>
    <xf numFmtId="2" fontId="4" fillId="0" borderId="5" xfId="0" applyNumberFormat="1" applyFont="1" applyBorder="1" applyAlignment="1">
      <alignment horizontal="right"/>
    </xf>
    <xf numFmtId="1" fontId="2" fillId="0" borderId="7" xfId="0" applyNumberFormat="1" applyFont="1" applyBorder="1"/>
    <xf numFmtId="2" fontId="4" fillId="0" borderId="4" xfId="0" applyNumberFormat="1" applyFont="1" applyBorder="1"/>
    <xf numFmtId="2" fontId="4" fillId="0" borderId="22" xfId="0" applyNumberFormat="1" applyFont="1" applyBorder="1"/>
    <xf numFmtId="0" fontId="2" fillId="0" borderId="13" xfId="0" applyFont="1" applyBorder="1"/>
    <xf numFmtId="2" fontId="4" fillId="0" borderId="21" xfId="0" applyNumberFormat="1" applyFont="1" applyBorder="1"/>
    <xf numFmtId="0" fontId="2" fillId="0" borderId="0" xfId="0" applyFont="1" applyAlignment="1">
      <alignment horizontal="justify" vertical="justify"/>
    </xf>
    <xf numFmtId="0" fontId="6" fillId="0" borderId="0" xfId="0" applyFont="1"/>
    <xf numFmtId="0" fontId="2" fillId="0" borderId="9" xfId="0" applyFont="1" applyBorder="1"/>
    <xf numFmtId="0" fontId="3" fillId="0" borderId="10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16" xfId="0" applyFont="1" applyBorder="1"/>
    <xf numFmtId="2" fontId="2" fillId="0" borderId="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4" fillId="0" borderId="6" xfId="0" applyFont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7" fillId="0" borderId="0" xfId="0" applyFont="1"/>
    <xf numFmtId="49" fontId="7" fillId="0" borderId="0" xfId="0" applyNumberFormat="1" applyFont="1"/>
    <xf numFmtId="49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9" fillId="0" borderId="23" xfId="0" applyFont="1" applyBorder="1" applyAlignment="1">
      <alignment vertical="center" wrapText="1" readingOrder="1"/>
    </xf>
    <xf numFmtId="0" fontId="10" fillId="0" borderId="23" xfId="0" applyFont="1" applyBorder="1" applyAlignment="1">
      <alignment vertical="center" wrapText="1" readingOrder="1"/>
    </xf>
    <xf numFmtId="14" fontId="10" fillId="0" borderId="23" xfId="0" applyNumberFormat="1" applyFont="1" applyBorder="1" applyAlignment="1">
      <alignment vertical="center" wrapText="1" readingOrder="1"/>
    </xf>
    <xf numFmtId="20" fontId="10" fillId="0" borderId="23" xfId="0" applyNumberFormat="1" applyFont="1" applyBorder="1" applyAlignment="1">
      <alignment vertical="center" wrapText="1" readingOrder="1"/>
    </xf>
    <xf numFmtId="4" fontId="10" fillId="0" borderId="23" xfId="0" applyNumberFormat="1" applyFont="1" applyBorder="1" applyAlignment="1">
      <alignment vertical="center" wrapText="1" readingOrder="1"/>
    </xf>
    <xf numFmtId="49" fontId="0" fillId="0" borderId="0" xfId="0" applyNumberFormat="1"/>
    <xf numFmtId="14" fontId="0" fillId="0" borderId="0" xfId="0" applyNumberFormat="1"/>
    <xf numFmtId="20" fontId="0" fillId="0" borderId="0" xfId="0" applyNumberFormat="1"/>
    <xf numFmtId="0" fontId="8" fillId="0" borderId="0" xfId="2"/>
    <xf numFmtId="0" fontId="11" fillId="0" borderId="0" xfId="0" applyFont="1"/>
    <xf numFmtId="11" fontId="0" fillId="0" borderId="0" xfId="0" applyNumberFormat="1"/>
    <xf numFmtId="0" fontId="2" fillId="0" borderId="5" xfId="0" applyFont="1" applyBorder="1" applyAlignment="1">
      <alignment horizontal="left"/>
    </xf>
    <xf numFmtId="0" fontId="0" fillId="0" borderId="6" xfId="0" applyBorder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2" fillId="0" borderId="0" xfId="0" applyFont="1" applyAlignment="1">
      <alignment horizontal="justify" vertical="justify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0" fillId="0" borderId="9" xfId="0" applyBorder="1"/>
    <xf numFmtId="0" fontId="4" fillId="0" borderId="5" xfId="0" applyFont="1" applyBorder="1" applyAlignment="1">
      <alignment horizontal="justify" vertical="justify"/>
    </xf>
    <xf numFmtId="0" fontId="0" fillId="0" borderId="10" xfId="0" applyBorder="1"/>
    <xf numFmtId="0" fontId="2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8775</xdr:colOff>
          <xdr:row>193</xdr:row>
          <xdr:rowOff>48722</xdr:rowOff>
        </xdr:from>
        <xdr:to>
          <xdr:col>4</xdr:col>
          <xdr:colOff>313575</xdr:colOff>
          <xdr:row>194</xdr:row>
          <xdr:rowOff>153555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FJ@GMAIL.COM" TargetMode="Externa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58EC-4174-4AC1-9F27-05677A8651F7}">
  <sheetPr codeName="Sheet1"/>
  <dimension ref="A2:AE393"/>
  <sheetViews>
    <sheetView tabSelected="1" topLeftCell="A355" zoomScale="106" zoomScaleNormal="130" workbookViewId="0">
      <selection activeCell="C358" sqref="C358"/>
    </sheetView>
  </sheetViews>
  <sheetFormatPr defaultColWidth="8.77734375" defaultRowHeight="14.4" x14ac:dyDescent="0.3"/>
  <cols>
    <col min="1" max="1" width="8.77734375" style="1"/>
    <col min="2" max="2" width="25.21875" style="1" customWidth="1"/>
    <col min="3" max="3" width="38.88671875" style="1" customWidth="1"/>
    <col min="4" max="4" width="8.77734375" style="1"/>
    <col min="5" max="5" width="26.5546875" style="1" customWidth="1"/>
    <col min="6" max="6" width="9.5546875" style="1" bestFit="1" customWidth="1"/>
    <col min="7" max="7" width="10.109375" style="1" bestFit="1" customWidth="1"/>
    <col min="8" max="9" width="8.88671875" style="1" bestFit="1" customWidth="1"/>
    <col min="10" max="16384" width="8.77734375" style="1"/>
  </cols>
  <sheetData>
    <row r="2" spans="1:3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">
      <c r="A3" s="2"/>
      <c r="B3" s="3" t="s">
        <v>4</v>
      </c>
      <c r="C3" s="2"/>
      <c r="D3" s="2"/>
      <c r="E3" s="2"/>
      <c r="F3" s="2"/>
      <c r="G3" s="2"/>
      <c r="H3" s="2"/>
      <c r="I3" s="2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3">
      <c r="A4" s="2"/>
      <c r="B4" s="2" t="s">
        <v>6</v>
      </c>
      <c r="C4" s="4"/>
      <c r="D4" s="2"/>
      <c r="E4" s="2"/>
      <c r="F4" s="2"/>
      <c r="G4" s="2"/>
      <c r="H4" s="2"/>
      <c r="I4" s="2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3">
      <c r="A5" s="2"/>
      <c r="B5" s="2" t="s">
        <v>8</v>
      </c>
      <c r="C5" s="2"/>
      <c r="D5" s="2"/>
      <c r="E5" s="2"/>
      <c r="F5" s="2"/>
      <c r="G5" s="2"/>
      <c r="H5" s="4"/>
      <c r="I5" s="2" t="s">
        <v>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">
      <c r="A6" s="2"/>
      <c r="B6" s="5" t="s">
        <v>10</v>
      </c>
      <c r="C6" s="5"/>
      <c r="D6" s="5"/>
      <c r="E6" s="5"/>
      <c r="F6" s="5"/>
      <c r="G6" s="5"/>
      <c r="H6" s="5"/>
      <c r="I6" s="5" t="s">
        <v>11</v>
      </c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thickBot="1" x14ac:dyDescent="0.35">
      <c r="A7" s="2"/>
      <c r="B7" s="6"/>
      <c r="C7" s="6"/>
      <c r="D7" s="6"/>
      <c r="E7" s="6"/>
      <c r="F7" s="6"/>
      <c r="G7" s="6"/>
      <c r="H7" s="6"/>
      <c r="I7" s="6"/>
      <c r="J7" s="6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4" t="s">
        <v>12</v>
      </c>
      <c r="C9" s="2" t="s">
        <v>13</v>
      </c>
      <c r="D9" s="7"/>
      <c r="E9" s="2"/>
      <c r="F9" s="2"/>
      <c r="G9" s="2"/>
      <c r="H9" s="2"/>
      <c r="I9" s="2"/>
      <c r="J9" s="8" t="s">
        <v>14</v>
      </c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4"/>
      <c r="C10" s="2"/>
      <c r="D10" s="2"/>
      <c r="E10" s="2"/>
      <c r="F10" s="2"/>
      <c r="G10" s="2"/>
      <c r="H10" s="2"/>
      <c r="I10" s="2"/>
      <c r="J10" s="8"/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11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141" t="s">
        <v>16</v>
      </c>
      <c r="C12" s="142"/>
      <c r="D12" s="142"/>
      <c r="E12" s="142"/>
      <c r="F12" s="142"/>
      <c r="G12" s="142"/>
      <c r="H12" s="142"/>
      <c r="I12" s="142"/>
      <c r="J12" s="142"/>
      <c r="K12" s="14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7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12" t="s">
        <v>17</v>
      </c>
      <c r="C14" s="4" t="s">
        <v>18</v>
      </c>
      <c r="D14" s="2"/>
      <c r="E14" s="13"/>
      <c r="F14" s="14" t="s">
        <v>19</v>
      </c>
      <c r="G14" s="2" t="s">
        <v>20</v>
      </c>
      <c r="H14" s="2"/>
      <c r="I14" s="2"/>
      <c r="J14" s="8" t="s">
        <v>21</v>
      </c>
      <c r="K14" s="15" t="s">
        <v>20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11"/>
      <c r="B15" s="2"/>
      <c r="C15" s="2" t="s">
        <v>22</v>
      </c>
      <c r="D15" s="2"/>
      <c r="E15" s="13"/>
      <c r="F15" s="14" t="s">
        <v>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13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 t="s">
        <v>23</v>
      </c>
      <c r="C17" s="2" t="s">
        <v>24</v>
      </c>
      <c r="D17" s="2"/>
      <c r="E17" s="13"/>
      <c r="F17" s="14" t="s">
        <v>19</v>
      </c>
      <c r="G17" s="16" t="s">
        <v>20</v>
      </c>
      <c r="H17" s="2"/>
      <c r="I17" s="2"/>
      <c r="J17" s="8" t="s">
        <v>25</v>
      </c>
      <c r="K17" s="2" t="s">
        <v>20</v>
      </c>
      <c r="L17" s="2"/>
      <c r="M17" t="s">
        <v>26</v>
      </c>
      <c r="N17" s="14" t="s">
        <v>27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3">
      <c r="A19" s="2"/>
      <c r="B19" s="14" t="s">
        <v>28</v>
      </c>
      <c r="C19" s="4" t="s">
        <v>29</v>
      </c>
      <c r="D19" s="2"/>
      <c r="E19" s="13"/>
      <c r="F19" s="14" t="s">
        <v>19</v>
      </c>
      <c r="G19" s="2" t="s">
        <v>20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3">
      <c r="A20" s="14"/>
      <c r="B20" s="2"/>
      <c r="C20" s="2" t="s">
        <v>30</v>
      </c>
      <c r="D20" s="2"/>
      <c r="E20" s="13"/>
      <c r="F20" s="14" t="s">
        <v>19</v>
      </c>
      <c r="G20" s="17" t="s">
        <v>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3">
      <c r="A21" s="14"/>
      <c r="B21" s="2"/>
      <c r="C21" s="2" t="s">
        <v>31</v>
      </c>
      <c r="D21" s="2"/>
      <c r="E21" s="13"/>
      <c r="F21" s="14" t="s">
        <v>19</v>
      </c>
      <c r="G21" s="17" t="s">
        <v>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3">
      <c r="A22" s="14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3">
      <c r="A23" s="2"/>
      <c r="B23" s="14" t="s">
        <v>32</v>
      </c>
      <c r="C23" s="4" t="s">
        <v>33</v>
      </c>
      <c r="D23" s="2"/>
      <c r="E23" s="13"/>
      <c r="F23" s="14" t="s">
        <v>19</v>
      </c>
      <c r="G23" s="2" t="s">
        <v>34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3">
      <c r="A24" s="14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3">
      <c r="A25" s="2"/>
      <c r="B25" s="14">
        <v>2</v>
      </c>
      <c r="C25" s="4" t="s">
        <v>35</v>
      </c>
      <c r="D25" s="2"/>
      <c r="E25" s="13"/>
      <c r="F25" s="14" t="s">
        <v>19</v>
      </c>
      <c r="G25" s="4" t="s">
        <v>36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3">
      <c r="A26" s="2"/>
      <c r="B26" s="2" t="s">
        <v>17</v>
      </c>
      <c r="C26" s="2" t="s">
        <v>37</v>
      </c>
      <c r="D26" s="2"/>
      <c r="E26" s="13"/>
      <c r="F26" s="14" t="s">
        <v>19</v>
      </c>
      <c r="G26" s="4" t="s">
        <v>38</v>
      </c>
      <c r="H26" s="2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3">
      <c r="A27" s="2"/>
      <c r="B27" s="2" t="s">
        <v>23</v>
      </c>
      <c r="C27" s="2" t="s">
        <v>39</v>
      </c>
      <c r="D27" s="2"/>
      <c r="E27" s="13"/>
      <c r="F27" s="14" t="s">
        <v>19</v>
      </c>
      <c r="G27" s="7" t="s">
        <v>40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3">
      <c r="A28" s="2"/>
      <c r="B28" s="2" t="s">
        <v>28</v>
      </c>
      <c r="C28" s="2" t="s">
        <v>41</v>
      </c>
      <c r="D28" s="2"/>
      <c r="E28" s="13"/>
      <c r="F28" s="14" t="s">
        <v>19</v>
      </c>
      <c r="G28" s="7" t="s">
        <v>42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3">
      <c r="A29" s="2"/>
      <c r="B29" s="2"/>
      <c r="C29" s="18"/>
      <c r="D29" s="19"/>
      <c r="E29" s="20"/>
      <c r="F29" s="21"/>
      <c r="G29" s="137" t="s">
        <v>43</v>
      </c>
      <c r="H29" s="138"/>
      <c r="I29" s="143" t="s">
        <v>44</v>
      </c>
      <c r="J29" s="138"/>
      <c r="K29" s="22" t="s">
        <v>45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3">
      <c r="A30" s="2"/>
      <c r="B30" s="2" t="s">
        <v>32</v>
      </c>
      <c r="C30" s="23" t="s">
        <v>46</v>
      </c>
      <c r="D30" s="2"/>
      <c r="E30" s="13"/>
      <c r="F30" s="14" t="s">
        <v>19</v>
      </c>
      <c r="G30" s="144" t="s">
        <v>47</v>
      </c>
      <c r="H30" s="145"/>
      <c r="I30" s="143" t="str">
        <f>G30</f>
        <v>S00546022</v>
      </c>
      <c r="J30" s="138"/>
      <c r="K30" s="22" t="str">
        <f>G30</f>
        <v>S00546022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3">
      <c r="A31" s="2"/>
      <c r="B31" s="2" t="s">
        <v>48</v>
      </c>
      <c r="C31" s="24" t="s">
        <v>49</v>
      </c>
      <c r="D31" s="5"/>
      <c r="E31" s="25"/>
      <c r="F31" s="26" t="s">
        <v>19</v>
      </c>
      <c r="G31" s="137" t="s">
        <v>50</v>
      </c>
      <c r="H31" s="138"/>
      <c r="I31" s="139" t="str">
        <f>G31</f>
        <v>N8272201</v>
      </c>
      <c r="J31" s="140"/>
      <c r="K31" s="27" t="str">
        <f>G31</f>
        <v>N8272201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3">
      <c r="A32" s="2"/>
      <c r="B32" s="2" t="s">
        <v>51</v>
      </c>
      <c r="C32" s="2" t="s">
        <v>52</v>
      </c>
      <c r="D32" s="2"/>
      <c r="E32" s="4"/>
      <c r="F32" s="14" t="s">
        <v>19</v>
      </c>
      <c r="G32" s="4" t="s">
        <v>53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3">
      <c r="A33" s="2"/>
      <c r="B33" s="2" t="s">
        <v>54</v>
      </c>
      <c r="C33" s="2" t="s">
        <v>0</v>
      </c>
      <c r="D33" s="2"/>
      <c r="E33" s="13"/>
      <c r="F33" s="14" t="s">
        <v>19</v>
      </c>
      <c r="G33" s="2" t="s">
        <v>55</v>
      </c>
      <c r="H33" s="2"/>
      <c r="I33" s="2"/>
      <c r="J33" s="2"/>
      <c r="K33" s="2"/>
      <c r="L33" s="2"/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3">
      <c r="A34" s="2"/>
      <c r="B34" s="2" t="s">
        <v>56</v>
      </c>
      <c r="C34" s="2" t="s">
        <v>1</v>
      </c>
      <c r="D34" s="2"/>
      <c r="E34" s="13"/>
      <c r="F34" s="14" t="s">
        <v>19</v>
      </c>
      <c r="G34" s="2" t="s">
        <v>57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3">
      <c r="A35" s="2"/>
      <c r="B35" s="2" t="s">
        <v>58</v>
      </c>
      <c r="C35" s="2" t="s">
        <v>2</v>
      </c>
      <c r="D35" s="2"/>
      <c r="E35" s="13"/>
      <c r="F35" s="14" t="s">
        <v>19</v>
      </c>
      <c r="G35" s="2" t="s">
        <v>59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3">
      <c r="A36" s="2"/>
      <c r="B36" s="2" t="s">
        <v>60</v>
      </c>
      <c r="C36" s="2" t="s">
        <v>61</v>
      </c>
      <c r="D36" s="2"/>
      <c r="E36" s="13"/>
      <c r="F36" s="14" t="s">
        <v>19</v>
      </c>
      <c r="G36" s="7">
        <v>990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3">
      <c r="A37" s="2"/>
      <c r="B37" s="2" t="s">
        <v>62</v>
      </c>
      <c r="C37" s="2" t="s">
        <v>63</v>
      </c>
      <c r="D37" s="2"/>
      <c r="E37" s="13"/>
      <c r="F37" s="14" t="s">
        <v>19</v>
      </c>
      <c r="G37" s="7">
        <v>9800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3">
      <c r="A38" s="2"/>
      <c r="B38" s="2" t="s">
        <v>64</v>
      </c>
      <c r="C38" s="2" t="s">
        <v>65</v>
      </c>
      <c r="D38" s="2"/>
      <c r="E38" s="13"/>
      <c r="F38" s="14" t="s">
        <v>19</v>
      </c>
      <c r="G38" s="2" t="s">
        <v>42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3">
      <c r="A39" s="2"/>
      <c r="B39" s="2"/>
      <c r="C39" s="2" t="s">
        <v>66</v>
      </c>
      <c r="D39" s="2"/>
      <c r="E39" s="13"/>
      <c r="F39" s="14" t="s">
        <v>19</v>
      </c>
      <c r="G39" s="2" t="s">
        <v>20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3">
      <c r="A40" s="2"/>
      <c r="B40" s="2"/>
      <c r="C40" s="2" t="s">
        <v>67</v>
      </c>
      <c r="D40" s="2"/>
      <c r="E40" s="13"/>
      <c r="F40" s="14" t="s">
        <v>19</v>
      </c>
      <c r="G40" s="2" t="s">
        <v>20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3">
      <c r="A41" s="2"/>
      <c r="B41" s="2"/>
      <c r="C41" s="2" t="s">
        <v>68</v>
      </c>
      <c r="D41" s="2"/>
      <c r="E41" s="13"/>
      <c r="F41" s="14" t="s">
        <v>19</v>
      </c>
      <c r="G41" s="2" t="s">
        <v>20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3">
      <c r="A42" s="2"/>
      <c r="B42" s="2"/>
      <c r="C42" s="2" t="s">
        <v>69</v>
      </c>
      <c r="D42" s="2"/>
      <c r="E42" s="13"/>
      <c r="F42" s="14" t="s">
        <v>19</v>
      </c>
      <c r="G42" s="2" t="s">
        <v>20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3">
      <c r="A43" s="2"/>
      <c r="B43" s="2" t="s">
        <v>70</v>
      </c>
      <c r="C43" s="2" t="s">
        <v>71</v>
      </c>
      <c r="D43" s="2"/>
      <c r="E43" s="13"/>
      <c r="F43" s="14" t="s">
        <v>19</v>
      </c>
      <c r="G43" s="7">
        <v>5</v>
      </c>
      <c r="H43" s="2"/>
      <c r="I43" s="2"/>
      <c r="J43" s="2"/>
      <c r="K43" s="2"/>
      <c r="L43" s="2"/>
      <c r="M43" s="2"/>
      <c r="N43" s="2"/>
      <c r="O43" s="2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3">
      <c r="A44" s="2"/>
      <c r="B44" s="2" t="s">
        <v>72</v>
      </c>
      <c r="C44" s="2" t="s">
        <v>73</v>
      </c>
      <c r="D44" s="2"/>
      <c r="E44" s="13"/>
      <c r="F44" s="14" t="s">
        <v>19</v>
      </c>
      <c r="G44" s="2" t="s">
        <v>74</v>
      </c>
      <c r="H44" s="2"/>
      <c r="I44" s="2"/>
      <c r="J44" s="28" t="s">
        <v>75</v>
      </c>
      <c r="K44" s="29"/>
      <c r="L44" s="2"/>
      <c r="M44" s="2"/>
      <c r="N44" s="2"/>
      <c r="O44" s="2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3">
      <c r="A45" s="2"/>
      <c r="B45" s="2" t="s">
        <v>76</v>
      </c>
      <c r="C45" s="2" t="s">
        <v>77</v>
      </c>
      <c r="D45" s="2"/>
      <c r="E45" s="13"/>
      <c r="F45" s="14" t="s">
        <v>19</v>
      </c>
      <c r="G45" s="2" t="s">
        <v>78</v>
      </c>
      <c r="H45" s="2"/>
      <c r="I45" s="2"/>
      <c r="J45" s="30" t="s">
        <v>79</v>
      </c>
      <c r="K45" s="31" t="s">
        <v>80</v>
      </c>
      <c r="L45" s="2"/>
      <c r="M45" s="2"/>
      <c r="N45" s="2"/>
      <c r="O45" s="2"/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3">
      <c r="A46" s="2"/>
      <c r="B46" s="2" t="s">
        <v>81</v>
      </c>
      <c r="C46" s="2" t="s">
        <v>82</v>
      </c>
      <c r="D46" s="2"/>
      <c r="E46" s="32"/>
      <c r="F46" s="32"/>
      <c r="G46" s="7">
        <v>998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3">
      <c r="A47" s="2"/>
      <c r="B47" s="14">
        <v>3</v>
      </c>
      <c r="C47" s="4" t="s">
        <v>83</v>
      </c>
      <c r="D47" s="2"/>
      <c r="E47" s="13"/>
      <c r="F47" s="14" t="s">
        <v>19</v>
      </c>
      <c r="G47" s="4" t="s">
        <v>84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3">
      <c r="A48" s="2"/>
      <c r="B48" s="2" t="s">
        <v>17</v>
      </c>
      <c r="C48" s="2" t="s">
        <v>85</v>
      </c>
      <c r="D48" s="2"/>
      <c r="E48" s="13"/>
      <c r="F48" s="14" t="s">
        <v>19</v>
      </c>
      <c r="G48" s="2" t="s">
        <v>86</v>
      </c>
      <c r="H48" s="2"/>
      <c r="I48" s="2"/>
      <c r="J48" s="8" t="s">
        <v>87</v>
      </c>
      <c r="K48" s="2" t="s">
        <v>88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3">
      <c r="A49" s="2"/>
      <c r="B49" s="2"/>
      <c r="C49" s="2" t="s">
        <v>89</v>
      </c>
      <c r="D49" s="2"/>
      <c r="E49" s="13"/>
      <c r="F49" s="14" t="s">
        <v>19</v>
      </c>
      <c r="G49" s="17" t="s">
        <v>90</v>
      </c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3">
      <c r="A50" s="2"/>
      <c r="B50" s="2" t="s">
        <v>91</v>
      </c>
      <c r="C50" s="2" t="s">
        <v>92</v>
      </c>
      <c r="D50" s="2"/>
      <c r="E50" s="13"/>
      <c r="F50" s="14" t="s">
        <v>19</v>
      </c>
      <c r="G50" s="7" t="s">
        <v>93</v>
      </c>
      <c r="H50" s="2"/>
      <c r="I50" s="2"/>
      <c r="J50" s="8" t="s">
        <v>91</v>
      </c>
      <c r="K50" s="2" t="s">
        <v>91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3">
      <c r="A51" s="2"/>
      <c r="B51" s="2" t="s">
        <v>23</v>
      </c>
      <c r="C51" s="4" t="s">
        <v>94</v>
      </c>
      <c r="D51" s="2"/>
      <c r="E51" s="13"/>
      <c r="F51" s="14" t="s">
        <v>19</v>
      </c>
      <c r="G51" s="14" t="s">
        <v>95</v>
      </c>
      <c r="H51" s="2"/>
      <c r="I51" t="s">
        <v>96</v>
      </c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3">
      <c r="A52" s="2"/>
      <c r="B52" s="2" t="s">
        <v>28</v>
      </c>
      <c r="C52" s="2" t="s">
        <v>97</v>
      </c>
      <c r="D52" s="2"/>
      <c r="E52" s="13"/>
      <c r="F52" s="14" t="s">
        <v>19</v>
      </c>
      <c r="G52" s="2" t="s">
        <v>98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3">
      <c r="A53" s="2"/>
      <c r="B53" s="2" t="s">
        <v>32</v>
      </c>
      <c r="C53" s="2" t="s">
        <v>99</v>
      </c>
      <c r="D53" s="2"/>
      <c r="E53" s="13"/>
      <c r="F53" s="14" t="s">
        <v>19</v>
      </c>
      <c r="G53" s="17" t="s">
        <v>98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3">
      <c r="A54" s="2"/>
      <c r="B54" s="2" t="s">
        <v>48</v>
      </c>
      <c r="C54" s="2" t="s">
        <v>100</v>
      </c>
      <c r="D54" s="2"/>
      <c r="E54" s="13"/>
      <c r="F54" s="14" t="s">
        <v>19</v>
      </c>
      <c r="G54" s="7" t="s">
        <v>101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3">
      <c r="A55" s="2"/>
      <c r="B55" s="2" t="s">
        <v>51</v>
      </c>
      <c r="C55" s="2" t="s">
        <v>102</v>
      </c>
      <c r="D55" s="2"/>
      <c r="E55" s="13"/>
      <c r="F55" s="14" t="s">
        <v>19</v>
      </c>
      <c r="G55" s="2" t="s">
        <v>103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3">
      <c r="A56" s="2"/>
      <c r="B56" s="2"/>
      <c r="C56" s="2"/>
      <c r="D56" s="2"/>
      <c r="E56" s="32"/>
      <c r="F56" s="7"/>
      <c r="G56" s="2"/>
      <c r="H56" s="2"/>
      <c r="I56" s="2"/>
      <c r="J56" s="2"/>
      <c r="K56" s="2"/>
      <c r="L56" s="2"/>
      <c r="M56" s="2"/>
      <c r="N56" s="2" t="s">
        <v>104</v>
      </c>
      <c r="O56" s="2">
        <v>50000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3">
      <c r="A57" s="2"/>
      <c r="B57" s="14">
        <v>4</v>
      </c>
      <c r="C57" s="4" t="s">
        <v>105</v>
      </c>
      <c r="D57" s="2"/>
      <c r="E57" s="32"/>
      <c r="F57" s="32"/>
      <c r="G57" s="2"/>
      <c r="H57" s="2"/>
      <c r="I57" s="2"/>
      <c r="J57" s="2"/>
      <c r="K57" s="2"/>
      <c r="L57" s="2"/>
      <c r="M57" s="2"/>
      <c r="N57" s="2" t="s">
        <v>106</v>
      </c>
      <c r="O57" s="123" t="s">
        <v>221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3">
      <c r="A58" s="2"/>
      <c r="B58" s="2" t="s">
        <v>17</v>
      </c>
      <c r="C58" s="2" t="s">
        <v>107</v>
      </c>
      <c r="D58" s="2"/>
      <c r="E58" s="13"/>
      <c r="F58" s="14" t="s">
        <v>19</v>
      </c>
      <c r="G58" s="9">
        <v>45940</v>
      </c>
      <c r="H58" s="2"/>
      <c r="I58" s="2"/>
      <c r="J58" s="2"/>
      <c r="K58" s="2"/>
      <c r="L58" s="2"/>
      <c r="M58" s="2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3">
      <c r="A59" s="2"/>
      <c r="B59" s="2" t="s">
        <v>23</v>
      </c>
      <c r="C59" s="2" t="s">
        <v>108</v>
      </c>
      <c r="D59" s="2"/>
      <c r="E59" s="13"/>
      <c r="F59" s="14" t="s">
        <v>19</v>
      </c>
      <c r="G59" s="2" t="s">
        <v>20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3">
      <c r="A60" s="2"/>
      <c r="B60" s="2"/>
      <c r="C60" s="2"/>
      <c r="D60" s="2"/>
      <c r="E60" s="2"/>
      <c r="F60" s="14"/>
      <c r="G60" s="2"/>
      <c r="H60" s="2"/>
      <c r="I60" s="2"/>
      <c r="J60" s="2"/>
      <c r="K60" s="2"/>
      <c r="L60" s="2"/>
      <c r="M60" s="2"/>
      <c r="N60" s="2" t="s">
        <v>222</v>
      </c>
      <c r="O60" s="124">
        <v>0.42708333333333331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3">
      <c r="A61" s="2"/>
      <c r="B61" s="14">
        <v>5</v>
      </c>
      <c r="C61" s="4" t="s">
        <v>109</v>
      </c>
      <c r="D61" s="2"/>
      <c r="E61" s="32"/>
      <c r="F61" s="3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3">
      <c r="A62" s="2"/>
      <c r="B62" s="2"/>
      <c r="C62" s="2" t="s">
        <v>110</v>
      </c>
      <c r="D62" s="2"/>
      <c r="E62" s="13"/>
      <c r="F62" s="14" t="s">
        <v>19</v>
      </c>
      <c r="G62" s="2" t="s">
        <v>20</v>
      </c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3">
      <c r="A63" s="2"/>
      <c r="B63" s="2"/>
      <c r="C63" s="2" t="s">
        <v>111</v>
      </c>
      <c r="D63" s="2"/>
      <c r="E63" s="13"/>
      <c r="F63" s="14" t="s">
        <v>19</v>
      </c>
      <c r="G63" s="2" t="s">
        <v>112</v>
      </c>
      <c r="H63" s="2" t="s">
        <v>113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3">
      <c r="A64" s="2"/>
      <c r="B64" s="2"/>
      <c r="C64" s="2" t="s">
        <v>114</v>
      </c>
      <c r="D64" s="2"/>
      <c r="E64" s="32"/>
      <c r="F64" s="14" t="s">
        <v>19</v>
      </c>
      <c r="G64" s="2" t="s">
        <v>115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 t="s">
        <v>116</v>
      </c>
      <c r="D65" s="2"/>
      <c r="E65" s="13"/>
      <c r="F65" s="14" t="s">
        <v>19</v>
      </c>
      <c r="G65" s="2" t="s">
        <v>117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13"/>
      <c r="F66" s="1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3">
      <c r="A67" s="2"/>
      <c r="B67" s="2"/>
      <c r="C67" s="2"/>
      <c r="D67" s="2"/>
      <c r="E67" s="13"/>
      <c r="F67" s="1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3">
      <c r="A68" s="2"/>
      <c r="B68" s="14">
        <v>6</v>
      </c>
      <c r="C68" s="4" t="s">
        <v>118</v>
      </c>
      <c r="D68" s="2"/>
      <c r="E68" s="4"/>
      <c r="F68" s="1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3">
      <c r="A69" s="2"/>
      <c r="B69" s="14"/>
      <c r="C69" s="2" t="s">
        <v>119</v>
      </c>
      <c r="D69" s="2"/>
      <c r="E69" s="4"/>
      <c r="F69" s="14" t="s">
        <v>19</v>
      </c>
      <c r="G69" s="2" t="s">
        <v>120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3">
      <c r="A70" s="2"/>
      <c r="B70" s="14"/>
      <c r="C70" s="2" t="s">
        <v>89</v>
      </c>
      <c r="D70" s="2"/>
      <c r="E70" s="4"/>
      <c r="F70" s="14" t="s">
        <v>19</v>
      </c>
      <c r="G70" s="2" t="s">
        <v>121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3">
      <c r="A71" s="2"/>
      <c r="B71" s="14"/>
      <c r="C71" s="2" t="s">
        <v>122</v>
      </c>
      <c r="D71" s="2"/>
      <c r="E71" s="4"/>
      <c r="F71" s="14" t="s">
        <v>19</v>
      </c>
      <c r="G71" s="2" t="s">
        <v>123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3">
      <c r="A73" s="2"/>
      <c r="B73" s="14">
        <v>7</v>
      </c>
      <c r="C73" s="4" t="s">
        <v>124</v>
      </c>
      <c r="D73" s="2"/>
      <c r="E73" s="13"/>
      <c r="F73" s="14" t="s">
        <v>19</v>
      </c>
      <c r="G73" s="2" t="s">
        <v>125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3">
      <c r="A74" s="2"/>
      <c r="B74" s="14"/>
      <c r="C74" s="4"/>
      <c r="D74" s="2"/>
      <c r="E74" s="4"/>
      <c r="F74" s="1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3">
      <c r="A75" s="2"/>
      <c r="B75" s="14">
        <v>8</v>
      </c>
      <c r="C75" s="4" t="s">
        <v>126</v>
      </c>
      <c r="D75" s="2"/>
      <c r="E75" s="13"/>
      <c r="F75" s="14" t="s">
        <v>19</v>
      </c>
      <c r="G75" s="2" t="s">
        <v>125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3">
      <c r="A77" s="2"/>
      <c r="B77" s="14">
        <v>9</v>
      </c>
      <c r="C77" s="4" t="s">
        <v>127</v>
      </c>
      <c r="D77" s="2"/>
      <c r="E77" s="32"/>
      <c r="F77" s="3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3">
      <c r="A78" s="2"/>
      <c r="B78" s="14"/>
      <c r="C78" s="2" t="s">
        <v>128</v>
      </c>
      <c r="D78" s="2"/>
      <c r="E78" s="32"/>
      <c r="F78" s="3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3">
      <c r="A79" s="2"/>
      <c r="B79" s="14"/>
      <c r="C79" s="141" t="s">
        <v>20</v>
      </c>
      <c r="D79" s="142"/>
      <c r="E79" s="142"/>
      <c r="F79" s="142"/>
      <c r="G79" s="142"/>
      <c r="H79" s="142"/>
      <c r="I79" s="142"/>
      <c r="J79" s="142"/>
      <c r="K79" s="14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3">
      <c r="A81" s="2"/>
      <c r="B81" s="14">
        <v>10</v>
      </c>
      <c r="C81" s="4" t="s">
        <v>129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3">
      <c r="A82" s="2"/>
      <c r="B82" s="14"/>
      <c r="C82" s="141" t="s">
        <v>130</v>
      </c>
      <c r="D82" s="142"/>
      <c r="E82" s="142"/>
      <c r="F82" s="142"/>
      <c r="G82" s="142"/>
      <c r="H82" s="142"/>
      <c r="I82" s="142"/>
      <c r="J82" s="142"/>
      <c r="K82" s="14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3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3">
      <c r="A84" s="2"/>
      <c r="B84" s="14">
        <v>11</v>
      </c>
      <c r="C84" s="4" t="s">
        <v>131</v>
      </c>
      <c r="D84" s="2"/>
      <c r="E84" s="2"/>
      <c r="F84" s="2"/>
      <c r="G84" s="2"/>
      <c r="H84" s="2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3">
      <c r="A85" s="2"/>
      <c r="B85" s="14"/>
      <c r="C85" s="2" t="s">
        <v>132</v>
      </c>
      <c r="D85" s="2"/>
      <c r="E85" s="2"/>
      <c r="F85" s="2"/>
      <c r="G85" s="2"/>
      <c r="H85" s="2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3">
      <c r="A86" s="2"/>
      <c r="B86" s="14"/>
      <c r="C86" s="2"/>
      <c r="D86" s="2"/>
      <c r="E86" s="2"/>
      <c r="F86" s="2"/>
      <c r="G86" s="2"/>
      <c r="H86" s="2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3">
      <c r="A87" s="2"/>
      <c r="B87" s="14">
        <v>12</v>
      </c>
      <c r="C87" s="4" t="s">
        <v>133</v>
      </c>
      <c r="D87" s="2"/>
      <c r="E87" s="2"/>
      <c r="F87" s="2"/>
      <c r="G87" s="2"/>
      <c r="H87" s="2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3">
      <c r="A88" s="2"/>
      <c r="B88" s="34">
        <v>1</v>
      </c>
      <c r="C88" s="2" t="s">
        <v>20</v>
      </c>
      <c r="D88" s="2"/>
      <c r="E88" s="2"/>
      <c r="F88" s="2"/>
      <c r="G88" s="2"/>
      <c r="H88" s="2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3">
      <c r="A89" s="2"/>
      <c r="B89" s="34">
        <v>2</v>
      </c>
      <c r="C89" s="2" t="s">
        <v>134</v>
      </c>
      <c r="D89" s="2"/>
      <c r="E89" s="2"/>
      <c r="F89" s="2"/>
      <c r="G89" s="2"/>
      <c r="H89" s="2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3">
      <c r="A90" s="2"/>
      <c r="B90" s="34">
        <v>3</v>
      </c>
      <c r="C90" s="2" t="s">
        <v>135</v>
      </c>
      <c r="D90" s="2"/>
      <c r="E90" s="2"/>
      <c r="F90" s="2"/>
      <c r="G90" s="2"/>
      <c r="H90" s="2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3">
      <c r="A91" s="2"/>
      <c r="B91" s="34">
        <v>4</v>
      </c>
      <c r="C91" s="4" t="s">
        <v>136</v>
      </c>
      <c r="D91" s="2"/>
      <c r="E91" s="2"/>
      <c r="F91" s="2"/>
      <c r="G91" s="2"/>
      <c r="H91" s="2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3">
      <c r="A92" s="2"/>
      <c r="B92" s="34"/>
      <c r="C92" s="4"/>
      <c r="D92" s="2"/>
      <c r="E92" s="2"/>
      <c r="F92" s="2"/>
      <c r="G92" s="2"/>
      <c r="H92" s="2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3">
      <c r="A93" s="2"/>
      <c r="B93" s="14">
        <v>13</v>
      </c>
      <c r="C93" s="4" t="s">
        <v>137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3">
      <c r="A94" s="2"/>
      <c r="B94" s="4"/>
      <c r="C94" s="2"/>
      <c r="D94" s="2"/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3">
      <c r="A95" s="2"/>
      <c r="B95" s="18"/>
      <c r="C95" s="19"/>
      <c r="D95" s="19" t="s">
        <v>138</v>
      </c>
      <c r="E95" s="19"/>
      <c r="F95" s="35"/>
      <c r="G95" s="19"/>
      <c r="H95" s="19"/>
      <c r="I95" s="19"/>
      <c r="J95" s="36">
        <v>500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3">
      <c r="A96" s="2"/>
      <c r="B96" s="23" t="s">
        <v>139</v>
      </c>
      <c r="C96" s="2"/>
      <c r="D96" s="2"/>
      <c r="E96" s="5"/>
      <c r="F96" s="37">
        <f>E262</f>
        <v>-119.88888888888889</v>
      </c>
      <c r="G96" s="2" t="s">
        <v>140</v>
      </c>
      <c r="H96" s="2"/>
      <c r="I96" s="2"/>
      <c r="J96" s="38">
        <f>IF(F96&lt;0.5,0,IF(F96&lt;1,5,IF(F96&lt;2,10,IF(F96&lt;3,15,IF(F96&lt;4,25,IF(F96&lt;5,35,IF(F96&lt;10,40,50)))))))</f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3">
      <c r="A97" s="2"/>
      <c r="B97" s="18" t="s">
        <v>141</v>
      </c>
      <c r="C97" s="19"/>
      <c r="D97" s="19"/>
      <c r="E97" s="2"/>
      <c r="F97" s="39">
        <v>18</v>
      </c>
      <c r="G97" s="19" t="s">
        <v>142</v>
      </c>
      <c r="H97" s="19"/>
      <c r="I97" s="19"/>
      <c r="J97" s="40">
        <v>18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3">
      <c r="A98" s="2"/>
      <c r="B98" s="41"/>
      <c r="C98" s="41"/>
      <c r="D98" s="41"/>
      <c r="E98" s="41"/>
      <c r="F98" s="41"/>
      <c r="G98" s="4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3">
      <c r="A99" s="2"/>
      <c r="B99" s="5"/>
      <c r="C99" s="5"/>
      <c r="D99" s="5"/>
      <c r="E99" s="5"/>
      <c r="F99" s="5"/>
      <c r="G99" s="5" t="s">
        <v>143</v>
      </c>
      <c r="H99" s="5" t="s">
        <v>143</v>
      </c>
      <c r="I99" s="5" t="s">
        <v>143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3">
      <c r="A100" s="2"/>
      <c r="B100" s="30" t="s">
        <v>144</v>
      </c>
      <c r="C100" s="30" t="s">
        <v>145</v>
      </c>
      <c r="D100" s="5"/>
      <c r="E100" s="31"/>
      <c r="F100" s="42" t="s">
        <v>146</v>
      </c>
      <c r="G100" s="42" t="s">
        <v>147</v>
      </c>
      <c r="H100" s="42" t="s">
        <v>148</v>
      </c>
      <c r="I100" s="43" t="s">
        <v>149</v>
      </c>
      <c r="J100" s="8" t="s">
        <v>150</v>
      </c>
      <c r="K100" s="44" t="s">
        <v>151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3">
      <c r="A101" s="2"/>
      <c r="B101" s="45">
        <v>1</v>
      </c>
      <c r="C101" s="45" t="s">
        <v>152</v>
      </c>
      <c r="D101" s="2"/>
      <c r="E101" s="38"/>
      <c r="F101" s="46">
        <v>1560</v>
      </c>
      <c r="G101" s="46">
        <v>1210.93</v>
      </c>
      <c r="H101" s="46"/>
      <c r="I101" s="46"/>
      <c r="J101" s="2"/>
      <c r="K101" s="34">
        <v>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3">
      <c r="A102" s="2"/>
      <c r="B102" s="47">
        <v>2</v>
      </c>
      <c r="C102" s="47" t="s">
        <v>153</v>
      </c>
      <c r="D102" s="2"/>
      <c r="E102" s="38"/>
      <c r="F102" s="46">
        <v>1480</v>
      </c>
      <c r="G102" s="46">
        <v>992.18</v>
      </c>
      <c r="H102" s="46"/>
      <c r="I102" s="46"/>
      <c r="J102" s="2"/>
      <c r="K102" s="34">
        <v>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3">
      <c r="A103" s="2"/>
      <c r="B103" s="47">
        <v>3</v>
      </c>
      <c r="C103" s="47" t="s">
        <v>154</v>
      </c>
      <c r="D103" s="2"/>
      <c r="E103" s="38"/>
      <c r="F103" s="46">
        <v>8570</v>
      </c>
      <c r="G103" s="46" t="s">
        <v>155</v>
      </c>
      <c r="H103" s="46">
        <v>500</v>
      </c>
      <c r="I103" s="46"/>
      <c r="J103" s="2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3">
      <c r="A104" s="2"/>
      <c r="B104" s="47">
        <v>4</v>
      </c>
      <c r="C104" s="47" t="s">
        <v>156</v>
      </c>
      <c r="D104" s="2"/>
      <c r="E104" s="38"/>
      <c r="F104" s="46">
        <v>8861</v>
      </c>
      <c r="G104" s="46" t="s">
        <v>155</v>
      </c>
      <c r="H104" s="46">
        <v>5</v>
      </c>
      <c r="I104" s="46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3">
      <c r="A105" s="2"/>
      <c r="B105" s="47">
        <v>5</v>
      </c>
      <c r="C105" s="47" t="s">
        <v>157</v>
      </c>
      <c r="D105" s="2"/>
      <c r="E105" s="38"/>
      <c r="F105" s="46">
        <v>9110</v>
      </c>
      <c r="G105" s="46" t="s">
        <v>155</v>
      </c>
      <c r="H105" s="46">
        <v>5</v>
      </c>
      <c r="I105" s="46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3">
      <c r="A106" s="2"/>
      <c r="B106" s="47">
        <v>6</v>
      </c>
      <c r="C106" s="47" t="s">
        <v>158</v>
      </c>
      <c r="D106" s="2"/>
      <c r="E106" s="38"/>
      <c r="F106" s="46">
        <v>3030</v>
      </c>
      <c r="G106" s="46" t="s">
        <v>155</v>
      </c>
      <c r="H106" s="46">
        <v>4</v>
      </c>
      <c r="I106" s="46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3">
      <c r="A107" s="2"/>
      <c r="B107" s="47">
        <v>7</v>
      </c>
      <c r="C107" s="47" t="s">
        <v>159</v>
      </c>
      <c r="D107" s="2"/>
      <c r="E107" s="38"/>
      <c r="F107" s="46">
        <v>1560</v>
      </c>
      <c r="G107" s="46" t="s">
        <v>155</v>
      </c>
      <c r="H107" s="46"/>
      <c r="I107" s="46">
        <v>5</v>
      </c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3">
      <c r="A108" s="2"/>
      <c r="B108" s="47">
        <v>8</v>
      </c>
      <c r="C108" s="47" t="s">
        <v>160</v>
      </c>
      <c r="D108" s="2"/>
      <c r="E108" s="38"/>
      <c r="F108" s="46">
        <v>8570</v>
      </c>
      <c r="G108" s="46" t="s">
        <v>155</v>
      </c>
      <c r="H108" s="46">
        <v>4</v>
      </c>
      <c r="I108" s="46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3">
      <c r="A109" s="2"/>
      <c r="B109" s="47">
        <v>9</v>
      </c>
      <c r="C109" s="47" t="s">
        <v>161</v>
      </c>
      <c r="D109" s="2"/>
      <c r="E109" s="38"/>
      <c r="F109" s="46">
        <v>9110</v>
      </c>
      <c r="G109" s="46" t="s">
        <v>155</v>
      </c>
      <c r="H109" s="46">
        <v>4</v>
      </c>
      <c r="I109" s="46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3">
      <c r="A110" s="2"/>
      <c r="B110" s="47">
        <v>10</v>
      </c>
      <c r="C110" s="47" t="s">
        <v>162</v>
      </c>
      <c r="D110" s="2"/>
      <c r="E110" s="38"/>
      <c r="F110" s="46">
        <v>8861</v>
      </c>
      <c r="G110" s="46" t="s">
        <v>155</v>
      </c>
      <c r="H110" s="46"/>
      <c r="I110" s="46">
        <v>5</v>
      </c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3">
      <c r="A111" s="2"/>
      <c r="B111" s="47">
        <v>11</v>
      </c>
      <c r="C111" s="47" t="s">
        <v>163</v>
      </c>
      <c r="D111" s="2"/>
      <c r="E111" s="38"/>
      <c r="F111" s="46">
        <v>2270</v>
      </c>
      <c r="G111" s="46" t="s">
        <v>155</v>
      </c>
      <c r="H111" s="46"/>
      <c r="I111" s="46">
        <v>4</v>
      </c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3">
      <c r="A112" s="2"/>
      <c r="B112" s="47">
        <v>12</v>
      </c>
      <c r="C112" s="47" t="s">
        <v>164</v>
      </c>
      <c r="D112" s="2"/>
      <c r="E112" s="38"/>
      <c r="F112" s="46">
        <v>2270</v>
      </c>
      <c r="G112" s="46" t="s">
        <v>155</v>
      </c>
      <c r="H112" s="46">
        <v>5</v>
      </c>
      <c r="I112" s="46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3">
      <c r="A113" s="2"/>
      <c r="B113" s="47">
        <v>13</v>
      </c>
      <c r="C113" s="47" t="s">
        <v>165</v>
      </c>
      <c r="D113" s="2"/>
      <c r="E113" s="38"/>
      <c r="F113" s="46">
        <v>302</v>
      </c>
      <c r="G113" s="46" t="s">
        <v>155</v>
      </c>
      <c r="H113" s="46">
        <v>4</v>
      </c>
      <c r="I113" s="46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3">
      <c r="A114" s="2"/>
      <c r="B114" s="47">
        <v>14</v>
      </c>
      <c r="C114" s="47" t="s">
        <v>166</v>
      </c>
      <c r="D114" s="2"/>
      <c r="E114" s="38"/>
      <c r="F114" s="46">
        <v>3560</v>
      </c>
      <c r="G114" s="46" t="s">
        <v>155</v>
      </c>
      <c r="H114" s="46"/>
      <c r="I114" s="46">
        <v>5</v>
      </c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3">
      <c r="A115" s="2"/>
      <c r="B115" s="47">
        <v>15</v>
      </c>
      <c r="C115" s="47" t="s">
        <v>167</v>
      </c>
      <c r="D115" s="2"/>
      <c r="E115" s="38"/>
      <c r="F115" s="46">
        <v>70000</v>
      </c>
      <c r="G115" s="46" t="s">
        <v>155</v>
      </c>
      <c r="H115" s="46">
        <v>4</v>
      </c>
      <c r="I115" s="46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3">
      <c r="A116" s="2"/>
      <c r="B116" s="47">
        <v>16</v>
      </c>
      <c r="C116" s="47" t="s">
        <v>168</v>
      </c>
      <c r="D116" s="2"/>
      <c r="E116" s="38"/>
      <c r="F116" s="46">
        <v>100</v>
      </c>
      <c r="G116" s="46"/>
      <c r="H116" s="46">
        <v>4</v>
      </c>
      <c r="I116" s="46"/>
      <c r="J116">
        <v>1771.18</v>
      </c>
      <c r="K116" s="34">
        <v>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3">
      <c r="A117" s="2"/>
      <c r="B117" s="47">
        <v>17</v>
      </c>
      <c r="C117" s="47" t="s">
        <v>169</v>
      </c>
      <c r="D117" s="2"/>
      <c r="E117" s="38"/>
      <c r="F117" s="46">
        <v>12</v>
      </c>
      <c r="G117" s="46"/>
      <c r="H117" s="46"/>
      <c r="I117" s="46">
        <v>4</v>
      </c>
      <c r="J117">
        <v>20000</v>
      </c>
      <c r="K117" s="34">
        <v>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3">
      <c r="A118" s="2"/>
      <c r="B118" s="47"/>
      <c r="C118" s="2"/>
      <c r="D118" s="2"/>
      <c r="E118" s="38"/>
      <c r="F118" s="46"/>
      <c r="G118" s="46"/>
      <c r="H118" s="46"/>
      <c r="I118" s="46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3">
      <c r="A119" s="2"/>
      <c r="B119" s="47"/>
      <c r="C119" s="2"/>
      <c r="D119" s="2"/>
      <c r="E119" s="38"/>
      <c r="F119" s="46"/>
      <c r="G119" s="46"/>
      <c r="H119" s="46"/>
      <c r="I119" s="46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3">
      <c r="A120" s="2"/>
      <c r="B120" s="47"/>
      <c r="C120" s="2"/>
      <c r="D120" s="2"/>
      <c r="E120" s="38"/>
      <c r="F120" s="46"/>
      <c r="G120" s="46"/>
      <c r="H120" s="46"/>
      <c r="I120" s="46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3">
      <c r="A121" s="2"/>
      <c r="B121" s="47"/>
      <c r="C121" s="2"/>
      <c r="D121" s="2"/>
      <c r="E121" s="38"/>
      <c r="F121" s="46"/>
      <c r="G121" s="46"/>
      <c r="H121" s="46"/>
      <c r="I121" s="46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3">
      <c r="A122" s="2"/>
      <c r="B122" s="47"/>
      <c r="C122" s="2"/>
      <c r="D122" s="2"/>
      <c r="E122" s="38"/>
      <c r="F122" s="46"/>
      <c r="G122" s="46"/>
      <c r="H122" s="46"/>
      <c r="I122" s="46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3">
      <c r="A123" s="2"/>
      <c r="B123" s="47"/>
      <c r="C123" s="2"/>
      <c r="D123" s="2"/>
      <c r="E123" s="38"/>
      <c r="F123" s="46"/>
      <c r="G123" s="46"/>
      <c r="H123" s="46"/>
      <c r="I123" s="46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3">
      <c r="A124" s="2"/>
      <c r="B124" s="47"/>
      <c r="C124" s="2"/>
      <c r="D124" s="2"/>
      <c r="E124" s="38"/>
      <c r="F124" s="46"/>
      <c r="G124" s="46"/>
      <c r="H124" s="46"/>
      <c r="I124" s="46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3">
      <c r="A125" s="2"/>
      <c r="B125" s="47"/>
      <c r="C125" s="2"/>
      <c r="D125" s="2"/>
      <c r="E125" s="38"/>
      <c r="F125" s="46"/>
      <c r="G125" s="46"/>
      <c r="H125" s="46"/>
      <c r="I125" s="46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3">
      <c r="A126" s="2"/>
      <c r="B126" s="47"/>
      <c r="C126" s="2"/>
      <c r="D126" s="2"/>
      <c r="E126" s="38"/>
      <c r="F126" s="46"/>
      <c r="G126" s="46"/>
      <c r="H126" s="46"/>
      <c r="I126" s="46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3">
      <c r="A127" s="2"/>
      <c r="B127" s="47"/>
      <c r="C127" s="2"/>
      <c r="D127" s="2"/>
      <c r="E127" s="38"/>
      <c r="F127" s="46"/>
      <c r="G127" s="46"/>
      <c r="H127" s="46"/>
      <c r="I127" s="46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3">
      <c r="A128" s="2"/>
      <c r="B128" s="47"/>
      <c r="C128" s="2"/>
      <c r="D128" s="2"/>
      <c r="E128" s="38"/>
      <c r="F128" s="46"/>
      <c r="G128" s="46"/>
      <c r="H128" s="46"/>
      <c r="I128" s="46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3">
      <c r="A129" s="2"/>
      <c r="B129" s="47"/>
      <c r="C129" s="2"/>
      <c r="D129" s="2"/>
      <c r="E129" s="38"/>
      <c r="F129" s="46"/>
      <c r="G129" s="46"/>
      <c r="H129" s="46"/>
      <c r="I129" s="46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3">
      <c r="A130" s="2"/>
      <c r="B130" s="47"/>
      <c r="C130" s="2"/>
      <c r="D130" s="2"/>
      <c r="E130" s="38"/>
      <c r="F130" s="46"/>
      <c r="G130" s="46"/>
      <c r="H130" s="46"/>
      <c r="I130" s="46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3">
      <c r="A131" s="2"/>
      <c r="B131" s="47"/>
      <c r="C131" s="2"/>
      <c r="D131" s="2"/>
      <c r="E131" s="38"/>
      <c r="F131" s="46"/>
      <c r="G131" s="46"/>
      <c r="H131" s="46"/>
      <c r="I131" s="46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3">
      <c r="A132" s="2"/>
      <c r="B132" s="47"/>
      <c r="C132" s="2"/>
      <c r="D132" s="2"/>
      <c r="E132" s="38"/>
      <c r="F132" s="46"/>
      <c r="G132" s="46"/>
      <c r="H132" s="46"/>
      <c r="I132" s="46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3">
      <c r="A133" s="2"/>
      <c r="B133" s="47"/>
      <c r="C133" s="2"/>
      <c r="D133" s="2"/>
      <c r="E133" s="38"/>
      <c r="F133" s="46"/>
      <c r="G133" s="46"/>
      <c r="H133" s="46"/>
      <c r="I133" s="46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3">
      <c r="A134" s="2"/>
      <c r="B134" s="47"/>
      <c r="C134" s="2"/>
      <c r="D134" s="2"/>
      <c r="E134" s="38"/>
      <c r="F134" s="46"/>
      <c r="G134" s="46"/>
      <c r="H134" s="46"/>
      <c r="I134" s="46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3">
      <c r="A135" s="2"/>
      <c r="B135" s="48"/>
      <c r="C135" s="49"/>
      <c r="D135" s="49"/>
      <c r="E135" s="50"/>
      <c r="F135" s="51"/>
      <c r="G135" s="52"/>
      <c r="H135" s="53"/>
      <c r="I135" s="52">
        <v>1000</v>
      </c>
      <c r="J135" s="5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3">
      <c r="A136" s="2"/>
      <c r="B136" s="23" t="s">
        <v>170</v>
      </c>
      <c r="C136" s="2"/>
      <c r="D136" s="2"/>
      <c r="E136" s="38"/>
      <c r="F136" s="46">
        <f>SUM(F101:F135)</f>
        <v>139226</v>
      </c>
      <c r="G136" s="55">
        <f>SUM(G101:G135)</f>
        <v>2203.11</v>
      </c>
      <c r="H136" s="56">
        <f>SUM(H101:H135)</f>
        <v>539</v>
      </c>
      <c r="I136" s="56">
        <f>SUM(I101:I135)</f>
        <v>1023</v>
      </c>
      <c r="J136" s="57">
        <f>SUM(J101:J135)</f>
        <v>21771.18</v>
      </c>
      <c r="K136" s="2"/>
      <c r="L136" s="2"/>
      <c r="M136" s="5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3">
      <c r="A137" s="38"/>
      <c r="B137" s="58">
        <v>18</v>
      </c>
      <c r="C137" s="5" t="s">
        <v>171</v>
      </c>
      <c r="D137" s="5"/>
      <c r="E137" s="31"/>
      <c r="F137" s="59">
        <f>B137*F136/100</f>
        <v>25060.68</v>
      </c>
      <c r="G137" s="60">
        <f>B137*G136/100</f>
        <v>396.55980000000005</v>
      </c>
      <c r="H137" s="59">
        <f>B137*H136/100</f>
        <v>97.02</v>
      </c>
      <c r="I137" s="59">
        <f>18*I136/100</f>
        <v>184.14</v>
      </c>
      <c r="J137" s="57"/>
      <c r="K137" s="2"/>
      <c r="L137" s="2"/>
      <c r="M137" s="5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3">
      <c r="A138" s="2"/>
      <c r="B138" s="23" t="s">
        <v>170</v>
      </c>
      <c r="C138" s="2"/>
      <c r="D138" s="2"/>
      <c r="E138" s="2"/>
      <c r="F138" s="55">
        <f>SUM(F136:F137)</f>
        <v>164286.68</v>
      </c>
      <c r="G138" s="55">
        <f>SUM(G136:G137)</f>
        <v>2599.6698000000001</v>
      </c>
      <c r="H138" s="55">
        <f>SUM(H136:H137)</f>
        <v>636.02</v>
      </c>
      <c r="I138" s="56">
        <f>SUM(I136:I137)</f>
        <v>1207.1399999999999</v>
      </c>
      <c r="J138" s="5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3">
      <c r="A139" s="2"/>
      <c r="B139" s="61" t="s">
        <v>172</v>
      </c>
      <c r="C139" s="2"/>
      <c r="D139" s="2"/>
      <c r="E139" s="2"/>
      <c r="F139" s="55"/>
      <c r="G139" s="55"/>
      <c r="H139" s="55"/>
      <c r="I139" s="5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3">
      <c r="A140" s="2"/>
      <c r="B140" s="24">
        <f>J96</f>
        <v>0</v>
      </c>
      <c r="C140" s="5" t="s">
        <v>173</v>
      </c>
      <c r="D140" s="5"/>
      <c r="E140" s="31"/>
      <c r="F140" s="62"/>
      <c r="G140" s="62">
        <f>B140*G138/100</f>
        <v>0</v>
      </c>
      <c r="H140" s="62">
        <f>H138/2</f>
        <v>318.01</v>
      </c>
      <c r="I140" s="56">
        <v>0</v>
      </c>
      <c r="J140" s="5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thickBot="1" x14ac:dyDescent="0.35">
      <c r="A141" s="2"/>
      <c r="B141" s="18" t="s">
        <v>174</v>
      </c>
      <c r="C141" s="19"/>
      <c r="D141" s="19"/>
      <c r="E141" s="36"/>
      <c r="F141" s="63">
        <f>F138</f>
        <v>164286.68</v>
      </c>
      <c r="G141" s="64">
        <f>G138-G140</f>
        <v>2599.6698000000001</v>
      </c>
      <c r="H141" s="63">
        <f>H138-H140</f>
        <v>318.01</v>
      </c>
      <c r="I141" s="64">
        <f>I138-I140</f>
        <v>1207.1399999999999</v>
      </c>
      <c r="J141" s="5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thickBot="1" x14ac:dyDescent="0.35">
      <c r="A142" s="2"/>
      <c r="B142" s="30" t="s">
        <v>175</v>
      </c>
      <c r="C142" s="5"/>
      <c r="D142" s="19"/>
      <c r="E142" s="65"/>
      <c r="F142" s="66">
        <f>F141</f>
        <v>164286.68</v>
      </c>
      <c r="G142" s="67">
        <f>G141+H141+I141+J141</f>
        <v>4124.8197999999993</v>
      </c>
      <c r="H142" s="68"/>
      <c r="I142" s="3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3">
      <c r="A143" s="2"/>
      <c r="B143" s="4"/>
      <c r="C143" s="2"/>
      <c r="D143" s="2"/>
      <c r="E143" s="2"/>
      <c r="F143" s="54"/>
      <c r="G143" s="5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3">
      <c r="A144" s="2"/>
      <c r="B144" s="4" t="s">
        <v>176</v>
      </c>
      <c r="C144" s="2"/>
      <c r="D144" s="2"/>
      <c r="E144" s="2"/>
      <c r="F144" s="2"/>
      <c r="G144" s="69">
        <f>G140+H140+J140+I140</f>
        <v>318.01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3">
      <c r="A145" s="2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3">
      <c r="A146" s="2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3">
      <c r="A147" s="2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3">
      <c r="A148" s="2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3">
      <c r="A149" s="2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3">
      <c r="A150" s="2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3">
      <c r="A151" s="2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3">
      <c r="A152" s="2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3">
      <c r="A153" s="2"/>
      <c r="B153" s="11" t="s">
        <v>177</v>
      </c>
      <c r="C153" s="2"/>
      <c r="D153" s="2"/>
      <c r="E153" s="2"/>
      <c r="F153" s="2"/>
      <c r="G153" s="6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3">
      <c r="A154" s="2"/>
      <c r="B154" s="2"/>
      <c r="C154" s="2"/>
      <c r="D154" s="2"/>
      <c r="E154" s="2"/>
      <c r="F154" s="2"/>
      <c r="G154" s="6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3">
      <c r="A155" s="2"/>
      <c r="B155" s="70" t="s">
        <v>178</v>
      </c>
      <c r="C155" s="19"/>
      <c r="D155" s="19"/>
      <c r="E155" s="19"/>
      <c r="F155" s="19"/>
      <c r="G155" s="71"/>
      <c r="H155" s="19"/>
      <c r="I155" s="7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3">
      <c r="A156" s="2"/>
      <c r="B156" s="73" t="s">
        <v>144</v>
      </c>
      <c r="C156" s="74" t="s">
        <v>179</v>
      </c>
      <c r="D156" s="19"/>
      <c r="E156" s="36"/>
      <c r="F156" s="75" t="s">
        <v>180</v>
      </c>
      <c r="G156" s="76" t="s">
        <v>181</v>
      </c>
      <c r="H156" s="77" t="s">
        <v>182</v>
      </c>
      <c r="I156" s="78" t="s">
        <v>183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3">
      <c r="A157" s="2"/>
      <c r="B157" s="47">
        <v>1</v>
      </c>
      <c r="C157" s="2" t="s">
        <v>217</v>
      </c>
      <c r="D157" s="2"/>
      <c r="E157" s="2"/>
      <c r="F157" s="79">
        <v>5</v>
      </c>
      <c r="G157" s="80"/>
      <c r="H157" s="81"/>
      <c r="I157" s="7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3">
      <c r="A158" s="2"/>
      <c r="B158" s="47">
        <v>2</v>
      </c>
      <c r="C158" s="2" t="s">
        <v>218</v>
      </c>
      <c r="D158" s="2"/>
      <c r="E158" s="2"/>
      <c r="F158" s="82"/>
      <c r="G158" s="80">
        <v>5</v>
      </c>
      <c r="H158" s="81"/>
      <c r="I158" s="8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3">
      <c r="A159" s="2"/>
      <c r="B159" s="47">
        <v>3</v>
      </c>
      <c r="C159" s="2" t="s">
        <v>219</v>
      </c>
      <c r="D159" s="2"/>
      <c r="E159" s="2"/>
      <c r="F159" s="82"/>
      <c r="G159" s="80"/>
      <c r="H159" s="81">
        <v>5</v>
      </c>
      <c r="I159" s="8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3">
      <c r="A160" s="2"/>
      <c r="B160" s="47"/>
      <c r="C160" s="2"/>
      <c r="D160" s="2"/>
      <c r="E160" s="2"/>
      <c r="F160" s="82"/>
      <c r="G160" s="80"/>
      <c r="H160" s="81"/>
      <c r="I160" s="8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3">
      <c r="A161" s="2"/>
      <c r="B161" s="47"/>
      <c r="C161" s="2"/>
      <c r="D161" s="2"/>
      <c r="E161" s="2"/>
      <c r="F161" s="83"/>
      <c r="G161" s="80"/>
      <c r="H161" s="81"/>
      <c r="I161" s="8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3">
      <c r="A162" s="2"/>
      <c r="B162" s="28" t="s">
        <v>170</v>
      </c>
      <c r="C162" s="41"/>
      <c r="D162" s="41"/>
      <c r="E162" s="41"/>
      <c r="F162" s="56">
        <f>SUM(F157:F161)</f>
        <v>5</v>
      </c>
      <c r="G162" s="84">
        <f>SUM(G157:G161)</f>
        <v>5</v>
      </c>
      <c r="H162" s="85">
        <f>SUM(H157:H161)</f>
        <v>5</v>
      </c>
      <c r="I162" s="46">
        <f>SUM(I157:I161)</f>
        <v>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3">
      <c r="A163" s="2"/>
      <c r="B163" s="24"/>
      <c r="C163" s="5"/>
      <c r="D163" s="5"/>
      <c r="E163" s="5"/>
      <c r="F163" s="59"/>
      <c r="G163" s="86"/>
      <c r="H163" s="59"/>
      <c r="I163" s="5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thickBot="1" x14ac:dyDescent="0.35">
      <c r="A164" s="38"/>
      <c r="B164" s="70" t="s">
        <v>170</v>
      </c>
      <c r="C164" s="19"/>
      <c r="D164" s="19"/>
      <c r="E164" s="19"/>
      <c r="F164" s="64">
        <f>F162</f>
        <v>5</v>
      </c>
      <c r="G164" s="87">
        <f>G162</f>
        <v>5</v>
      </c>
      <c r="H164" s="85">
        <f>H162</f>
        <v>5</v>
      </c>
      <c r="I164" s="88">
        <f>I162-I163</f>
        <v>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thickBot="1" x14ac:dyDescent="0.35">
      <c r="A165" s="2"/>
      <c r="B165" s="30"/>
      <c r="C165" s="5"/>
      <c r="D165" s="49" t="s">
        <v>184</v>
      </c>
      <c r="E165" s="5"/>
      <c r="F165" s="86"/>
      <c r="G165" s="86"/>
      <c r="H165" s="89">
        <f>F164+G164+H164+I164</f>
        <v>15</v>
      </c>
      <c r="I165" s="9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3">
      <c r="A166" s="2"/>
      <c r="B166" s="91"/>
      <c r="C166" s="41"/>
      <c r="D166" s="41"/>
      <c r="E166" s="41"/>
      <c r="F166" s="84"/>
      <c r="G166" s="84"/>
      <c r="H166" s="57"/>
      <c r="I166" s="57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3">
      <c r="A167" s="2"/>
      <c r="B167" s="70" t="s">
        <v>185</v>
      </c>
      <c r="C167" s="19"/>
      <c r="D167" s="19"/>
      <c r="E167" s="19"/>
      <c r="F167" s="92"/>
      <c r="G167" s="92"/>
      <c r="H167" s="93" t="s">
        <v>146</v>
      </c>
      <c r="I167" s="93" t="s">
        <v>186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3">
      <c r="A168" s="2"/>
      <c r="B168" s="61"/>
      <c r="C168" s="2"/>
      <c r="D168" s="2"/>
      <c r="E168" s="2"/>
      <c r="F168" s="57"/>
      <c r="G168" s="57"/>
      <c r="H168" s="56">
        <f>I155</f>
        <v>0</v>
      </c>
      <c r="I168" s="56">
        <f>H165</f>
        <v>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thickBot="1" x14ac:dyDescent="0.35">
      <c r="A169" s="2"/>
      <c r="B169" s="94">
        <f>J97</f>
        <v>18</v>
      </c>
      <c r="C169" s="5" t="s">
        <v>171</v>
      </c>
      <c r="D169" s="2"/>
      <c r="E169" s="2"/>
      <c r="F169" s="57"/>
      <c r="G169" s="57"/>
      <c r="H169" s="56">
        <f>B169*H168/100</f>
        <v>0</v>
      </c>
      <c r="I169" s="56">
        <f>B169*I168/100</f>
        <v>2.7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thickBot="1" x14ac:dyDescent="0.35">
      <c r="A170" s="2"/>
      <c r="B170" s="70" t="s">
        <v>187</v>
      </c>
      <c r="C170" s="19"/>
      <c r="D170" s="19"/>
      <c r="E170" s="19"/>
      <c r="F170" s="95"/>
      <c r="G170" s="95"/>
      <c r="H170" s="96">
        <f>H168+H169</f>
        <v>0</v>
      </c>
      <c r="I170" s="67">
        <f>I168+I169</f>
        <v>17.7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3">
      <c r="A172" s="2"/>
      <c r="B172" s="4" t="s">
        <v>188</v>
      </c>
      <c r="C172" s="2"/>
      <c r="D172" s="2"/>
      <c r="E172" s="2"/>
      <c r="F172" s="2"/>
      <c r="G172" s="54">
        <f>I170</f>
        <v>17.7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3">
      <c r="A173" s="2"/>
      <c r="B173" s="5"/>
      <c r="C173" s="5"/>
      <c r="D173" s="5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3">
      <c r="A174" s="2"/>
      <c r="B174" s="30" t="s">
        <v>189</v>
      </c>
      <c r="C174" s="5"/>
      <c r="D174" s="5"/>
      <c r="E174" s="31"/>
      <c r="F174" s="42" t="s">
        <v>146</v>
      </c>
      <c r="G174" s="42" t="s">
        <v>186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3">
      <c r="A175" s="2"/>
      <c r="B175" s="97" t="s">
        <v>190</v>
      </c>
      <c r="C175" s="41"/>
      <c r="D175" s="41"/>
      <c r="E175" s="41"/>
      <c r="F175" s="85">
        <f>F142</f>
        <v>164286.68</v>
      </c>
      <c r="G175" s="88">
        <f>G142</f>
        <v>4124.8197999999993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3">
      <c r="A176" s="2"/>
      <c r="B176" s="24" t="s">
        <v>191</v>
      </c>
      <c r="C176" s="5"/>
      <c r="D176" s="5"/>
      <c r="E176" s="5"/>
      <c r="F176" s="59">
        <f>H170</f>
        <v>0</v>
      </c>
      <c r="G176" s="51">
        <f>G172</f>
        <v>17.7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3">
      <c r="A177" s="2"/>
      <c r="B177" s="23" t="s">
        <v>170</v>
      </c>
      <c r="C177" s="2"/>
      <c r="D177" s="2"/>
      <c r="E177" s="38"/>
      <c r="F177" s="46">
        <f>F175+F176</f>
        <v>164286.68</v>
      </c>
      <c r="G177" s="46">
        <f>G175+G176</f>
        <v>4142.5197999999991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thickBot="1" x14ac:dyDescent="0.35">
      <c r="A178" s="2"/>
      <c r="B178" s="24" t="s">
        <v>192</v>
      </c>
      <c r="C178" s="5"/>
      <c r="D178" s="5"/>
      <c r="E178" s="31"/>
      <c r="F178" s="38"/>
      <c r="G178" s="46">
        <f>J95</f>
        <v>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thickBot="1" x14ac:dyDescent="0.35">
      <c r="A179" s="2"/>
      <c r="B179" s="30" t="s">
        <v>193</v>
      </c>
      <c r="C179" s="5"/>
      <c r="D179" s="19"/>
      <c r="E179" s="65"/>
      <c r="F179" s="96">
        <f>F177</f>
        <v>164286.68</v>
      </c>
      <c r="G179" s="98">
        <f>G177-G178</f>
        <v>3642.5197999999991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3">
      <c r="A181" s="2"/>
      <c r="B181" s="2" t="s">
        <v>194</v>
      </c>
      <c r="C181" s="2"/>
      <c r="D181" s="2"/>
      <c r="E181" s="2"/>
      <c r="F181" s="2"/>
      <c r="G181" s="57">
        <v>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3">
      <c r="A182" s="2"/>
      <c r="B182" s="70" t="s">
        <v>195</v>
      </c>
      <c r="C182" s="19"/>
      <c r="D182" s="19"/>
      <c r="E182" s="19"/>
      <c r="F182" s="19"/>
      <c r="G182" s="72">
        <f>G179-G181</f>
        <v>3642.5197999999991</v>
      </c>
      <c r="H182" s="2"/>
      <c r="I182" s="57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3">
      <c r="A184" s="33"/>
      <c r="B184" s="148" t="s">
        <v>196</v>
      </c>
      <c r="C184" s="142"/>
      <c r="D184" s="142"/>
      <c r="E184" s="142"/>
      <c r="F184" s="142"/>
      <c r="G184" s="142"/>
      <c r="H184" s="142"/>
      <c r="I184" s="142"/>
      <c r="J184" s="142"/>
      <c r="K184" s="14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3">
      <c r="A185" s="33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3">
      <c r="A186" s="2"/>
      <c r="B186" s="100" t="s">
        <v>197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3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3">
      <c r="A188" s="2"/>
      <c r="B188" s="7">
        <v>1</v>
      </c>
      <c r="C188" s="2" t="s">
        <v>198</v>
      </c>
      <c r="D188" s="2"/>
      <c r="E188" s="4" t="s">
        <v>19</v>
      </c>
      <c r="F188" s="7" t="str">
        <f>G30</f>
        <v>S00546022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3">
      <c r="A189" s="2"/>
      <c r="B189" s="7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3">
      <c r="A190" s="2"/>
      <c r="B190" s="7">
        <v>2</v>
      </c>
      <c r="C190" s="2" t="s">
        <v>199</v>
      </c>
      <c r="D190" s="2"/>
      <c r="E190" s="4" t="s">
        <v>19</v>
      </c>
      <c r="F190" s="7" t="str">
        <f>G31</f>
        <v>N8272201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3">
      <c r="A191" s="2"/>
      <c r="B191" s="4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3">
      <c r="A192" s="2"/>
      <c r="B192" s="4"/>
      <c r="C192" s="97" t="s">
        <v>200</v>
      </c>
      <c r="D192" s="41"/>
      <c r="E192" s="41"/>
      <c r="F192" s="41"/>
      <c r="G192" s="101"/>
      <c r="H192" s="2"/>
      <c r="I192" s="2"/>
      <c r="J192" s="4" t="s">
        <v>201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3">
      <c r="A193" s="2"/>
      <c r="B193" s="2"/>
      <c r="C193" s="23"/>
      <c r="D193" s="2"/>
      <c r="E193" s="2"/>
      <c r="F193" s="2"/>
      <c r="G193" s="3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3">
      <c r="A194" s="2"/>
      <c r="B194" s="4"/>
      <c r="C194" s="102" t="s">
        <v>202</v>
      </c>
      <c r="D194" s="5"/>
      <c r="E194" s="5"/>
      <c r="F194" s="5"/>
      <c r="G194" s="3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3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3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3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3">
      <c r="A198" s="2"/>
      <c r="B198" s="2"/>
      <c r="C198" s="2" t="s">
        <v>220</v>
      </c>
      <c r="D198" s="2" t="s">
        <v>19</v>
      </c>
      <c r="E198" s="122"/>
      <c r="F198" s="121">
        <v>3.5010231260389999E+19</v>
      </c>
      <c r="G198" s="121">
        <v>3.5010231260389999E+19</v>
      </c>
      <c r="H198" s="2"/>
      <c r="I198" s="2"/>
      <c r="J198" s="2"/>
      <c r="K198" s="2"/>
      <c r="L198" s="2"/>
      <c r="M198" s="4" t="s">
        <v>203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78" t="s">
        <v>204</v>
      </c>
      <c r="N200" s="103" t="s">
        <v>205</v>
      </c>
      <c r="O200" s="149" t="s">
        <v>206</v>
      </c>
      <c r="P200" s="138"/>
      <c r="Q200" s="149" t="s">
        <v>207</v>
      </c>
      <c r="R200" s="138"/>
      <c r="S200" s="149" t="s">
        <v>208</v>
      </c>
      <c r="T200" s="138"/>
      <c r="U200" s="146" t="s">
        <v>209</v>
      </c>
      <c r="V200" s="145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04"/>
      <c r="N201" s="31"/>
      <c r="O201" s="77" t="s">
        <v>210</v>
      </c>
      <c r="P201" s="76" t="s">
        <v>211</v>
      </c>
      <c r="Q201" s="105" t="s">
        <v>210</v>
      </c>
      <c r="R201" s="76" t="s">
        <v>211</v>
      </c>
      <c r="S201" s="105" t="s">
        <v>210</v>
      </c>
      <c r="T201" s="76" t="s">
        <v>211</v>
      </c>
      <c r="U201" s="147"/>
      <c r="V201" s="140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3">
      <c r="A202" s="2"/>
      <c r="B202" s="4"/>
      <c r="C202" s="2" t="s">
        <v>212</v>
      </c>
      <c r="D202" s="2" t="s">
        <v>213</v>
      </c>
      <c r="E202" s="2"/>
      <c r="F202" s="2"/>
      <c r="G202" s="2"/>
      <c r="H202" s="2"/>
      <c r="I202" s="2"/>
      <c r="J202" s="2"/>
      <c r="K202" s="2"/>
      <c r="L202" s="2"/>
      <c r="M202" s="106"/>
      <c r="N202" s="107">
        <f>G136+H136</f>
        <v>2742.11</v>
      </c>
      <c r="O202" s="106">
        <v>14</v>
      </c>
      <c r="P202" s="108">
        <f>14*N202/100</f>
        <v>383.8954</v>
      </c>
      <c r="Q202" s="109">
        <v>14</v>
      </c>
      <c r="R202" s="108">
        <f>P202</f>
        <v>383.8954</v>
      </c>
      <c r="S202" s="110"/>
      <c r="T202" s="38"/>
      <c r="U202" s="57">
        <f>P202+R202</f>
        <v>767.79079999999999</v>
      </c>
      <c r="V202" s="38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3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06"/>
      <c r="N203" s="107">
        <f>I136</f>
        <v>1023</v>
      </c>
      <c r="O203" s="106">
        <v>9</v>
      </c>
      <c r="P203" s="108">
        <f>9*N203/100</f>
        <v>92.07</v>
      </c>
      <c r="Q203" s="109">
        <v>9</v>
      </c>
      <c r="R203" s="108">
        <f>P203</f>
        <v>92.07</v>
      </c>
      <c r="S203" s="111"/>
      <c r="T203" s="38"/>
      <c r="U203" s="57">
        <f>P203+R203</f>
        <v>184.14</v>
      </c>
      <c r="V203" s="38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3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06"/>
      <c r="N204" s="107">
        <f>J136</f>
        <v>21771.18</v>
      </c>
      <c r="O204" s="106">
        <v>9</v>
      </c>
      <c r="P204" s="108">
        <f>9*N204/100</f>
        <v>1959.4061999999999</v>
      </c>
      <c r="Q204" s="109">
        <v>9</v>
      </c>
      <c r="R204" s="108">
        <f>P204</f>
        <v>1959.4061999999999</v>
      </c>
      <c r="S204" s="111"/>
      <c r="T204" s="38"/>
      <c r="U204" s="57">
        <f>P204+R204</f>
        <v>3918.8123999999998</v>
      </c>
      <c r="V204" s="38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3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7">
        <v>998729</v>
      </c>
      <c r="N205" s="112">
        <f>I168</f>
        <v>15</v>
      </c>
      <c r="O205" s="27">
        <v>9</v>
      </c>
      <c r="P205" s="113">
        <f>9*N205/100</f>
        <v>1.35</v>
      </c>
      <c r="Q205" s="114">
        <v>9</v>
      </c>
      <c r="R205" s="113">
        <f>P205</f>
        <v>1.35</v>
      </c>
      <c r="S205" s="115"/>
      <c r="T205" s="31"/>
      <c r="U205" s="86">
        <f>P205+R205</f>
        <v>2.7</v>
      </c>
      <c r="V205" s="31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3">
      <c r="A206" s="2"/>
      <c r="B206" s="2"/>
      <c r="C206" s="2"/>
      <c r="D206" s="2" t="s">
        <v>214</v>
      </c>
      <c r="E206" s="2">
        <v>2500</v>
      </c>
      <c r="F206" s="2"/>
      <c r="G206" s="2"/>
      <c r="H206" s="2"/>
      <c r="I206" s="2"/>
      <c r="J206" s="2"/>
      <c r="K206" s="2"/>
      <c r="L206" s="2"/>
      <c r="M206" s="70" t="s">
        <v>215</v>
      </c>
      <c r="N206" s="74"/>
      <c r="O206" s="74"/>
      <c r="P206" s="74"/>
      <c r="Q206" s="20"/>
      <c r="R206" s="20"/>
      <c r="S206" s="74"/>
      <c r="T206" s="74"/>
      <c r="U206" s="95">
        <f>SUM(U202:U205)</f>
        <v>4873.4431999999997</v>
      </c>
      <c r="V206" s="116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13"/>
      <c r="R207" s="13"/>
      <c r="S207" s="4"/>
      <c r="T207" s="4"/>
      <c r="U207" s="54"/>
      <c r="V207" s="4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3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3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3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3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3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3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3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3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3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3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3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3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3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3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3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3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3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3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3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3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3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3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3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3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3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3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3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3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3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3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3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3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3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3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3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3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3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3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3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3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3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3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3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3">
      <c r="A259" s="2"/>
      <c r="B259" s="2"/>
      <c r="C259" s="2" t="s">
        <v>216</v>
      </c>
      <c r="D259" s="2"/>
      <c r="E259" s="117">
        <v>43789</v>
      </c>
      <c r="F259" s="117"/>
      <c r="G259" s="2"/>
      <c r="H259" s="2"/>
      <c r="I259" s="2"/>
      <c r="J259" s="2"/>
      <c r="K259" s="2"/>
      <c r="L259" s="2"/>
      <c r="M259" s="2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3">
      <c r="A260" s="2"/>
      <c r="B260" s="2"/>
      <c r="C260" s="2" t="s">
        <v>107</v>
      </c>
      <c r="D260" s="2"/>
      <c r="E260" s="117"/>
      <c r="F260" s="11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3">
      <c r="A261" s="2"/>
      <c r="B261" s="2"/>
      <c r="C261" s="2"/>
      <c r="D261" s="2"/>
      <c r="E261" s="118"/>
      <c r="F261" s="1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3">
      <c r="A262" s="2"/>
      <c r="B262" s="2"/>
      <c r="C262" s="2"/>
      <c r="D262" s="2"/>
      <c r="E262" s="37">
        <f>DAYS360(E259,E260,0)/360</f>
        <v>-119.88888888888889</v>
      </c>
      <c r="F262" s="3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3">
      <c r="A268" s="2"/>
      <c r="B268" s="2"/>
      <c r="C268" s="2"/>
      <c r="D268" s="2"/>
      <c r="E268" s="2"/>
      <c r="F268" s="2"/>
      <c r="G268" s="2"/>
      <c r="H268" s="2"/>
      <c r="I268" s="119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3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3">
      <c r="A272" s="120"/>
      <c r="B272" s="120"/>
      <c r="C272" s="120"/>
      <c r="D272" s="120"/>
      <c r="E272" s="120"/>
      <c r="F272" s="12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3">
      <c r="A273" s="120"/>
      <c r="B273" s="120"/>
      <c r="C273" s="120"/>
      <c r="D273" s="120"/>
      <c r="E273" s="120"/>
      <c r="F273" s="12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3">
      <c r="A274" s="120"/>
      <c r="B274" s="120"/>
      <c r="C274" s="120"/>
      <c r="D274" s="120"/>
      <c r="E274" s="120"/>
      <c r="F274" s="12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thickBot="1" x14ac:dyDescent="0.35">
      <c r="A275" s="120"/>
      <c r="B275"/>
      <c r="C275"/>
      <c r="D275"/>
      <c r="E275" s="120"/>
      <c r="F275" s="12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42" thickBot="1" x14ac:dyDescent="0.35">
      <c r="A276" s="120"/>
      <c r="B276" s="126" t="s">
        <v>223</v>
      </c>
      <c r="C276" s="126" t="s">
        <v>224</v>
      </c>
      <c r="D276"/>
      <c r="E276" s="120"/>
      <c r="F276" s="12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97.2" thickBot="1" x14ac:dyDescent="0.35">
      <c r="A277" s="120"/>
      <c r="B277" s="126" t="s">
        <v>225</v>
      </c>
      <c r="C277" s="127"/>
      <c r="D277"/>
      <c r="E277" s="120"/>
      <c r="F277" s="12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55.8" thickBot="1" x14ac:dyDescent="0.35">
      <c r="A278" s="120"/>
      <c r="B278" s="127" t="s">
        <v>226</v>
      </c>
      <c r="C278" s="127" t="s">
        <v>227</v>
      </c>
      <c r="D278"/>
      <c r="E278" s="120"/>
      <c r="F278" s="12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55.8" thickBot="1" x14ac:dyDescent="0.35">
      <c r="A279" s="120"/>
      <c r="B279" s="127" t="s">
        <v>228</v>
      </c>
      <c r="C279" s="127" t="s">
        <v>229</v>
      </c>
      <c r="D279"/>
      <c r="E279" s="120"/>
      <c r="F279" s="12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42" thickBot="1" x14ac:dyDescent="0.35">
      <c r="A280" s="120"/>
      <c r="B280" s="127" t="s">
        <v>230</v>
      </c>
      <c r="C280" s="127" t="s">
        <v>231</v>
      </c>
      <c r="D280"/>
      <c r="E280" s="120"/>
      <c r="F280" s="12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42" thickBot="1" x14ac:dyDescent="0.35">
      <c r="A281" s="120"/>
      <c r="B281" s="127" t="s">
        <v>232</v>
      </c>
      <c r="C281" s="127" t="s">
        <v>233</v>
      </c>
      <c r="D281"/>
      <c r="E281" s="120"/>
      <c r="F281" s="12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42" thickBot="1" x14ac:dyDescent="0.35">
      <c r="A282" s="120"/>
      <c r="B282" s="127" t="s">
        <v>234</v>
      </c>
      <c r="C282" s="127" t="s">
        <v>235</v>
      </c>
      <c r="D282"/>
      <c r="E282" s="120"/>
      <c r="F282" s="12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42" thickBot="1" x14ac:dyDescent="0.35">
      <c r="A283" s="120"/>
      <c r="B283" s="127" t="s">
        <v>236</v>
      </c>
      <c r="C283" s="127" t="s">
        <v>237</v>
      </c>
      <c r="D283"/>
      <c r="E283" s="120"/>
      <c r="F283" s="12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28.2" thickBot="1" x14ac:dyDescent="0.35">
      <c r="A284" s="120"/>
      <c r="B284" s="127" t="s">
        <v>238</v>
      </c>
      <c r="C284" s="127" t="s">
        <v>239</v>
      </c>
      <c r="D284"/>
      <c r="E284" s="120"/>
      <c r="F284" s="12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28.2" thickBot="1" x14ac:dyDescent="0.35">
      <c r="A285" s="120"/>
      <c r="B285" s="127" t="s">
        <v>240</v>
      </c>
      <c r="C285" s="127" t="s">
        <v>241</v>
      </c>
      <c r="D285"/>
      <c r="E285" s="120"/>
      <c r="F285" s="12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28.2" thickBot="1" x14ac:dyDescent="0.35">
      <c r="A286" s="120"/>
      <c r="B286" s="127" t="s">
        <v>0</v>
      </c>
      <c r="C286" s="127" t="s">
        <v>242</v>
      </c>
      <c r="D286"/>
      <c r="E286" s="120"/>
      <c r="F286" s="12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28.2" thickBot="1" x14ac:dyDescent="0.35">
      <c r="A287" s="120"/>
      <c r="B287" s="127" t="s">
        <v>1</v>
      </c>
      <c r="C287" s="127" t="s">
        <v>243</v>
      </c>
      <c r="D287"/>
      <c r="E287" s="120"/>
      <c r="F287" s="12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55.8" thickBot="1" x14ac:dyDescent="0.35">
      <c r="A288" s="120"/>
      <c r="B288" s="127" t="s">
        <v>2</v>
      </c>
      <c r="C288" s="127" t="s">
        <v>244</v>
      </c>
      <c r="D288"/>
      <c r="E288" s="120"/>
      <c r="F288" s="12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28.2" thickBot="1" x14ac:dyDescent="0.35">
      <c r="A289" s="120"/>
      <c r="B289" s="127" t="s">
        <v>245</v>
      </c>
      <c r="C289" s="127" t="s">
        <v>246</v>
      </c>
      <c r="D289"/>
      <c r="E289" s="120"/>
      <c r="F289" s="12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42" thickBot="1" x14ac:dyDescent="0.35">
      <c r="A290" s="120"/>
      <c r="B290" s="127" t="s">
        <v>247</v>
      </c>
      <c r="C290" s="127" t="s">
        <v>248</v>
      </c>
      <c r="D290"/>
      <c r="E290" s="120"/>
      <c r="F290" s="12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28.2" thickBot="1" x14ac:dyDescent="0.35">
      <c r="A291" s="120"/>
      <c r="B291" s="127" t="s">
        <v>249</v>
      </c>
      <c r="C291" s="127" t="s">
        <v>250</v>
      </c>
      <c r="D291"/>
      <c r="E291" s="120"/>
      <c r="F291" s="12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42" thickBot="1" x14ac:dyDescent="0.35">
      <c r="A292" s="120"/>
      <c r="B292" s="127" t="s">
        <v>251</v>
      </c>
      <c r="C292" s="127" t="s">
        <v>252</v>
      </c>
      <c r="D292"/>
      <c r="E292" s="120"/>
      <c r="F292" s="12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28.2" thickBot="1" x14ac:dyDescent="0.35">
      <c r="A293" s="120"/>
      <c r="B293" s="127" t="s">
        <v>253</v>
      </c>
      <c r="C293" s="127" t="s">
        <v>243</v>
      </c>
      <c r="D293"/>
      <c r="E293" s="120"/>
      <c r="F293" s="12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28.2" thickBot="1" x14ac:dyDescent="0.35">
      <c r="A294" s="120"/>
      <c r="B294" s="127" t="s">
        <v>254</v>
      </c>
      <c r="C294" s="127" t="s">
        <v>255</v>
      </c>
      <c r="D294"/>
      <c r="E294" s="120"/>
      <c r="F294" s="12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97.2" thickBot="1" x14ac:dyDescent="0.35">
      <c r="A295" s="120"/>
      <c r="B295" s="127" t="s">
        <v>256</v>
      </c>
      <c r="C295" s="127" t="s">
        <v>237</v>
      </c>
      <c r="D295"/>
      <c r="E295" s="120"/>
      <c r="F295" s="120"/>
    </row>
    <row r="296" spans="1:31" ht="83.4" thickBot="1" x14ac:dyDescent="0.35">
      <c r="A296" s="120"/>
      <c r="B296" s="127" t="s">
        <v>257</v>
      </c>
      <c r="C296" s="127" t="s">
        <v>258</v>
      </c>
      <c r="D296"/>
      <c r="E296" s="120"/>
      <c r="F296" s="120"/>
    </row>
    <row r="297" spans="1:31" ht="97.2" thickBot="1" x14ac:dyDescent="0.35">
      <c r="A297" s="120"/>
      <c r="B297" s="127" t="s">
        <v>259</v>
      </c>
      <c r="C297" s="127" t="s">
        <v>260</v>
      </c>
      <c r="D297"/>
      <c r="E297" s="120"/>
      <c r="F297" s="120"/>
    </row>
    <row r="298" spans="1:31" ht="55.8" thickBot="1" x14ac:dyDescent="0.35">
      <c r="A298" s="120"/>
      <c r="B298" s="127" t="s">
        <v>261</v>
      </c>
      <c r="C298" s="127" t="s">
        <v>262</v>
      </c>
      <c r="D298"/>
      <c r="E298" s="120"/>
      <c r="F298" s="120"/>
    </row>
    <row r="299" spans="1:31" ht="42" thickBot="1" x14ac:dyDescent="0.35">
      <c r="A299" s="120"/>
      <c r="B299" s="127" t="s">
        <v>263</v>
      </c>
      <c r="C299" s="127" t="s">
        <v>264</v>
      </c>
      <c r="D299"/>
      <c r="E299" s="120"/>
      <c r="F299" s="120"/>
    </row>
    <row r="300" spans="1:31" ht="28.2" thickBot="1" x14ac:dyDescent="0.35">
      <c r="A300" s="120"/>
      <c r="B300" s="127" t="s">
        <v>265</v>
      </c>
      <c r="C300" s="128">
        <v>46305</v>
      </c>
      <c r="D300"/>
      <c r="E300" s="120"/>
      <c r="F300" s="120"/>
    </row>
    <row r="301" spans="1:31" ht="83.4" thickBot="1" x14ac:dyDescent="0.35">
      <c r="A301" s="120"/>
      <c r="B301" s="126" t="s">
        <v>266</v>
      </c>
      <c r="C301" s="127"/>
      <c r="D301"/>
      <c r="E301" s="120"/>
      <c r="F301" s="120"/>
    </row>
    <row r="302" spans="1:31" ht="83.4" thickBot="1" x14ac:dyDescent="0.35">
      <c r="A302" s="120"/>
      <c r="B302" s="127" t="s">
        <v>267</v>
      </c>
      <c r="C302" s="127" t="s">
        <v>268</v>
      </c>
      <c r="D302"/>
      <c r="E302" s="120"/>
      <c r="F302" s="120"/>
    </row>
    <row r="303" spans="1:31" ht="83.4" thickBot="1" x14ac:dyDescent="0.35">
      <c r="A303" s="120"/>
      <c r="B303" s="127" t="s">
        <v>269</v>
      </c>
      <c r="C303" s="127" t="s">
        <v>270</v>
      </c>
      <c r="D303"/>
      <c r="E303" s="120"/>
      <c r="F303" s="120"/>
    </row>
    <row r="304" spans="1:31" ht="42" thickBot="1" x14ac:dyDescent="0.35">
      <c r="A304" s="120"/>
      <c r="B304" s="127" t="s">
        <v>271</v>
      </c>
      <c r="C304" s="127" t="s">
        <v>272</v>
      </c>
      <c r="D304"/>
      <c r="E304" s="120"/>
      <c r="F304" s="120"/>
    </row>
    <row r="305" spans="1:6" ht="28.2" thickBot="1" x14ac:dyDescent="0.35">
      <c r="A305" s="120"/>
      <c r="B305" s="127" t="s">
        <v>273</v>
      </c>
      <c r="C305" s="128">
        <v>34982</v>
      </c>
      <c r="D305"/>
      <c r="E305" s="120"/>
      <c r="F305" s="120"/>
    </row>
    <row r="306" spans="1:6" ht="28.2" thickBot="1" x14ac:dyDescent="0.35">
      <c r="A306" s="120"/>
      <c r="B306" s="127" t="s">
        <v>274</v>
      </c>
      <c r="C306" s="127" t="s">
        <v>275</v>
      </c>
      <c r="D306"/>
      <c r="E306" s="120"/>
      <c r="F306" s="120"/>
    </row>
    <row r="307" spans="1:6" ht="28.2" thickBot="1" x14ac:dyDescent="0.35">
      <c r="A307" s="120"/>
      <c r="B307" s="127" t="s">
        <v>276</v>
      </c>
      <c r="C307" s="127">
        <v>41</v>
      </c>
      <c r="D307"/>
      <c r="E307" s="120"/>
      <c r="F307" s="120"/>
    </row>
    <row r="308" spans="1:6" ht="69.599999999999994" thickBot="1" x14ac:dyDescent="0.35">
      <c r="A308" s="120"/>
      <c r="B308" s="127" t="s">
        <v>277</v>
      </c>
      <c r="C308" s="127" t="s">
        <v>237</v>
      </c>
      <c r="D308"/>
      <c r="E308" s="120"/>
      <c r="F308" s="120"/>
    </row>
    <row r="309" spans="1:6" ht="42" thickBot="1" x14ac:dyDescent="0.35">
      <c r="A309" s="120"/>
      <c r="B309" s="127" t="s">
        <v>278</v>
      </c>
      <c r="C309" s="127" t="s">
        <v>279</v>
      </c>
      <c r="D309"/>
      <c r="E309" s="120"/>
      <c r="F309" s="120"/>
    </row>
    <row r="310" spans="1:6" ht="55.8" thickBot="1" x14ac:dyDescent="0.35">
      <c r="A310" s="120"/>
      <c r="B310" s="127" t="s">
        <v>280</v>
      </c>
      <c r="C310" s="127" t="s">
        <v>281</v>
      </c>
      <c r="D310"/>
      <c r="E310" s="120"/>
      <c r="F310" s="120"/>
    </row>
    <row r="311" spans="1:6" ht="69.599999999999994" thickBot="1" x14ac:dyDescent="0.35">
      <c r="A311" s="120"/>
      <c r="B311" s="127" t="s">
        <v>282</v>
      </c>
      <c r="C311" s="127" t="s">
        <v>283</v>
      </c>
      <c r="D311"/>
      <c r="E311" s="120"/>
      <c r="F311" s="120"/>
    </row>
    <row r="312" spans="1:6" ht="69.599999999999994" thickBot="1" x14ac:dyDescent="0.35">
      <c r="A312" s="120"/>
      <c r="B312" s="127" t="s">
        <v>284</v>
      </c>
      <c r="C312" s="127" t="s">
        <v>285</v>
      </c>
      <c r="D312"/>
      <c r="E312" s="120" t="s">
        <v>377</v>
      </c>
      <c r="F312" s="120">
        <v>1000</v>
      </c>
    </row>
    <row r="313" spans="1:6" ht="28.2" thickBot="1" x14ac:dyDescent="0.35">
      <c r="A313" s="120"/>
      <c r="B313" s="127" t="s">
        <v>286</v>
      </c>
      <c r="C313" s="127">
        <v>125</v>
      </c>
      <c r="D313"/>
      <c r="E313" s="120" t="s">
        <v>372</v>
      </c>
      <c r="F313" s="120">
        <v>1000</v>
      </c>
    </row>
    <row r="314" spans="1:6" ht="28.2" thickBot="1" x14ac:dyDescent="0.35">
      <c r="A314" s="120"/>
      <c r="B314" s="126" t="s">
        <v>287</v>
      </c>
      <c r="C314" s="127"/>
      <c r="D314"/>
      <c r="E314" s="120" t="s">
        <v>373</v>
      </c>
      <c r="F314" s="120">
        <v>1000</v>
      </c>
    </row>
    <row r="315" spans="1:6" ht="15" thickBot="1" x14ac:dyDescent="0.35">
      <c r="A315" s="120"/>
      <c r="B315" s="127" t="s">
        <v>288</v>
      </c>
      <c r="C315" s="127" t="s">
        <v>289</v>
      </c>
      <c r="D315"/>
      <c r="E315" s="125" t="s">
        <v>374</v>
      </c>
      <c r="F315" s="120">
        <v>1000</v>
      </c>
    </row>
    <row r="316" spans="1:6" ht="15" thickBot="1" x14ac:dyDescent="0.35">
      <c r="A316" s="120"/>
      <c r="B316" s="127" t="s">
        <v>290</v>
      </c>
      <c r="C316" s="127" t="s">
        <v>291</v>
      </c>
      <c r="D316"/>
      <c r="E316" s="125" t="s">
        <v>376</v>
      </c>
      <c r="F316" s="120">
        <v>2000</v>
      </c>
    </row>
    <row r="317" spans="1:6" ht="28.2" thickBot="1" x14ac:dyDescent="0.35">
      <c r="A317" s="120"/>
      <c r="B317" s="127" t="s">
        <v>292</v>
      </c>
      <c r="C317" s="127" t="s">
        <v>293</v>
      </c>
      <c r="D317"/>
      <c r="E317" s="125" t="s">
        <v>375</v>
      </c>
      <c r="F317" s="120">
        <v>5000</v>
      </c>
    </row>
    <row r="318" spans="1:6" ht="15" thickBot="1" x14ac:dyDescent="0.35">
      <c r="A318" s="120"/>
      <c r="B318" s="127" t="s">
        <v>294</v>
      </c>
      <c r="C318" s="127" t="s">
        <v>295</v>
      </c>
      <c r="D318"/>
      <c r="E318" s="125" t="s">
        <v>214</v>
      </c>
      <c r="F318" s="120">
        <v>1000</v>
      </c>
    </row>
    <row r="319" spans="1:6" ht="15" thickBot="1" x14ac:dyDescent="0.35">
      <c r="A319" s="120"/>
      <c r="B319" s="127" t="s">
        <v>296</v>
      </c>
      <c r="C319" s="127" t="s">
        <v>297</v>
      </c>
      <c r="D319"/>
      <c r="E319" s="120"/>
      <c r="F319" s="120"/>
    </row>
    <row r="320" spans="1:6" ht="15" thickBot="1" x14ac:dyDescent="0.35">
      <c r="A320" s="120"/>
      <c r="B320" s="127" t="s">
        <v>298</v>
      </c>
      <c r="C320" s="127" t="s">
        <v>299</v>
      </c>
      <c r="D320"/>
      <c r="E320" s="120"/>
      <c r="F320" s="120"/>
    </row>
    <row r="321" spans="1:6" ht="15" thickBot="1" x14ac:dyDescent="0.35">
      <c r="A321" s="120"/>
      <c r="B321" s="127" t="s">
        <v>300</v>
      </c>
      <c r="C321" s="127" t="s">
        <v>301</v>
      </c>
      <c r="D321"/>
      <c r="E321" s="120"/>
      <c r="F321" s="120"/>
    </row>
    <row r="322" spans="1:6" ht="15" thickBot="1" x14ac:dyDescent="0.35">
      <c r="A322" s="120"/>
      <c r="B322" s="127" t="s">
        <v>302</v>
      </c>
      <c r="C322" s="127" t="s">
        <v>303</v>
      </c>
      <c r="D322"/>
      <c r="E322" s="120"/>
      <c r="F322" s="120"/>
    </row>
    <row r="323" spans="1:6" ht="28.2" thickBot="1" x14ac:dyDescent="0.35">
      <c r="A323" s="120"/>
      <c r="B323" s="126" t="s">
        <v>304</v>
      </c>
      <c r="C323" s="127"/>
      <c r="D323"/>
      <c r="E323" s="120"/>
      <c r="F323" s="120"/>
    </row>
    <row r="324" spans="1:6" ht="28.2" thickBot="1" x14ac:dyDescent="0.35">
      <c r="A324" s="120"/>
      <c r="B324" s="127" t="s">
        <v>305</v>
      </c>
      <c r="C324" s="127" t="s">
        <v>306</v>
      </c>
      <c r="D324"/>
      <c r="E324" s="120"/>
      <c r="F324" s="120"/>
    </row>
    <row r="325" spans="1:6" ht="15" thickBot="1" x14ac:dyDescent="0.35">
      <c r="A325" s="120"/>
      <c r="B325" s="127" t="s">
        <v>307</v>
      </c>
      <c r="C325" s="127" t="s">
        <v>275</v>
      </c>
      <c r="D325"/>
      <c r="E325" s="120"/>
      <c r="F325" s="120"/>
    </row>
    <row r="326" spans="1:6" ht="15" thickBot="1" x14ac:dyDescent="0.35">
      <c r="A326" s="120"/>
      <c r="B326" s="127" t="s">
        <v>308</v>
      </c>
      <c r="C326" s="127" t="s">
        <v>309</v>
      </c>
      <c r="D326"/>
      <c r="E326" s="120"/>
      <c r="F326" s="120"/>
    </row>
    <row r="327" spans="1:6" ht="15" thickBot="1" x14ac:dyDescent="0.35">
      <c r="A327" s="120"/>
      <c r="B327" s="127" t="s">
        <v>310</v>
      </c>
      <c r="C327" s="127" t="s">
        <v>311</v>
      </c>
      <c r="D327"/>
      <c r="E327" s="120"/>
      <c r="F327" s="120"/>
    </row>
    <row r="328" spans="1:6" ht="15" thickBot="1" x14ac:dyDescent="0.35">
      <c r="A328" s="120"/>
      <c r="B328" s="127" t="s">
        <v>312</v>
      </c>
      <c r="C328" s="127" t="s">
        <v>313</v>
      </c>
      <c r="D328"/>
      <c r="E328" s="120"/>
      <c r="F328" s="120"/>
    </row>
    <row r="329" spans="1:6" ht="15" thickBot="1" x14ac:dyDescent="0.35">
      <c r="A329" s="120"/>
      <c r="B329" s="127" t="s">
        <v>314</v>
      </c>
      <c r="C329" s="127" t="s">
        <v>315</v>
      </c>
      <c r="D329"/>
      <c r="E329" s="120"/>
      <c r="F329" s="120"/>
    </row>
    <row r="330" spans="1:6" ht="15" thickBot="1" x14ac:dyDescent="0.35">
      <c r="A330" s="120"/>
      <c r="B330" s="127" t="s">
        <v>316</v>
      </c>
      <c r="C330" s="127" t="s">
        <v>317</v>
      </c>
      <c r="D330"/>
      <c r="E330" s="120"/>
      <c r="F330" s="120"/>
    </row>
    <row r="331" spans="1:6" ht="15" thickBot="1" x14ac:dyDescent="0.35">
      <c r="A331" s="120"/>
      <c r="B331" s="127" t="s">
        <v>318</v>
      </c>
      <c r="C331" s="127">
        <v>12345678901</v>
      </c>
      <c r="D331"/>
      <c r="E331" s="120"/>
      <c r="F331" s="120"/>
    </row>
    <row r="332" spans="1:6" ht="15" thickBot="1" x14ac:dyDescent="0.35">
      <c r="A332" s="120"/>
      <c r="B332" s="127" t="s">
        <v>319</v>
      </c>
      <c r="C332" s="127">
        <v>12345678901</v>
      </c>
      <c r="D332"/>
      <c r="E332" s="120"/>
      <c r="F332" s="120"/>
    </row>
    <row r="333" spans="1:6" ht="15" thickBot="1" x14ac:dyDescent="0.35">
      <c r="A333" s="120"/>
      <c r="B333" s="127" t="s">
        <v>320</v>
      </c>
      <c r="C333" s="127" t="s">
        <v>321</v>
      </c>
      <c r="D333"/>
      <c r="E333" s="120"/>
      <c r="F333" s="120"/>
    </row>
    <row r="334" spans="1:6" ht="15" thickBot="1" x14ac:dyDescent="0.35">
      <c r="A334" s="120"/>
      <c r="B334" s="127" t="s">
        <v>322</v>
      </c>
      <c r="C334" s="127" t="s">
        <v>323</v>
      </c>
      <c r="D334"/>
      <c r="E334" s="120"/>
      <c r="F334" s="120"/>
    </row>
    <row r="335" spans="1:6" ht="42" thickBot="1" x14ac:dyDescent="0.35">
      <c r="A335" s="120"/>
      <c r="B335" s="126" t="s">
        <v>324</v>
      </c>
      <c r="C335" s="127"/>
      <c r="D335"/>
      <c r="E335" s="120"/>
      <c r="F335" s="120"/>
    </row>
    <row r="336" spans="1:6" ht="15" thickBot="1" x14ac:dyDescent="0.35">
      <c r="A336" s="120"/>
      <c r="B336" s="127" t="s">
        <v>325</v>
      </c>
      <c r="C336" s="127" t="s">
        <v>326</v>
      </c>
      <c r="D336"/>
      <c r="E336" s="120"/>
      <c r="F336" s="120"/>
    </row>
    <row r="337" spans="1:6" ht="15" thickBot="1" x14ac:dyDescent="0.35">
      <c r="A337" s="120"/>
      <c r="B337" s="127" t="s">
        <v>327</v>
      </c>
      <c r="C337" s="127" t="s">
        <v>328</v>
      </c>
      <c r="D337"/>
      <c r="E337" s="120"/>
      <c r="F337" s="120"/>
    </row>
    <row r="338" spans="1:6" ht="15" thickBot="1" x14ac:dyDescent="0.35">
      <c r="A338" s="120"/>
      <c r="B338" s="127" t="s">
        <v>329</v>
      </c>
      <c r="C338" s="129">
        <v>0.4375</v>
      </c>
      <c r="D338"/>
      <c r="E338" s="120"/>
      <c r="F338" s="120"/>
    </row>
    <row r="339" spans="1:6" ht="15" thickBot="1" x14ac:dyDescent="0.35">
      <c r="A339" s="120"/>
      <c r="B339" s="127" t="s">
        <v>330</v>
      </c>
      <c r="C339" s="127">
        <v>1</v>
      </c>
      <c r="D339"/>
      <c r="E339" s="120"/>
      <c r="F339" s="120"/>
    </row>
    <row r="340" spans="1:6" ht="28.2" thickBot="1" x14ac:dyDescent="0.35">
      <c r="A340" s="120"/>
      <c r="B340" s="127" t="s">
        <v>331</v>
      </c>
      <c r="C340" s="127" t="s">
        <v>237</v>
      </c>
      <c r="D340"/>
      <c r="E340" s="120"/>
      <c r="F340" s="120"/>
    </row>
    <row r="341" spans="1:6" ht="15" thickBot="1" x14ac:dyDescent="0.35">
      <c r="A341" s="120"/>
      <c r="B341" s="127" t="s">
        <v>332</v>
      </c>
      <c r="C341" s="127" t="s">
        <v>237</v>
      </c>
      <c r="D341"/>
      <c r="E341" s="120"/>
      <c r="F341" s="120"/>
    </row>
    <row r="342" spans="1:6" ht="15" thickBot="1" x14ac:dyDescent="0.35">
      <c r="A342" s="120"/>
      <c r="B342" s="127" t="s">
        <v>333</v>
      </c>
      <c r="C342" s="128">
        <v>46147</v>
      </c>
      <c r="D342"/>
      <c r="E342" s="120"/>
      <c r="F342" s="120"/>
    </row>
    <row r="343" spans="1:6" ht="28.2" thickBot="1" x14ac:dyDescent="0.35">
      <c r="A343" s="120"/>
      <c r="B343" s="127" t="s">
        <v>334</v>
      </c>
      <c r="C343" s="127" t="s">
        <v>335</v>
      </c>
      <c r="D343"/>
      <c r="E343" s="120"/>
      <c r="F343" s="120"/>
    </row>
    <row r="344" spans="1:6" ht="15" thickBot="1" x14ac:dyDescent="0.35">
      <c r="A344" s="120"/>
      <c r="B344" s="127" t="s">
        <v>336</v>
      </c>
      <c r="C344" s="127" t="s">
        <v>237</v>
      </c>
      <c r="D344"/>
      <c r="E344" s="120"/>
      <c r="F344" s="120"/>
    </row>
    <row r="345" spans="1:6" ht="28.2" thickBot="1" x14ac:dyDescent="0.35">
      <c r="A345" s="120"/>
      <c r="B345" s="127" t="s">
        <v>337</v>
      </c>
      <c r="C345" s="127" t="s">
        <v>268</v>
      </c>
      <c r="D345"/>
      <c r="E345" s="120"/>
      <c r="F345" s="120"/>
    </row>
    <row r="346" spans="1:6" ht="15" thickBot="1" x14ac:dyDescent="0.35">
      <c r="A346" s="120"/>
      <c r="B346" s="127" t="s">
        <v>338</v>
      </c>
      <c r="C346" s="127" t="s">
        <v>339</v>
      </c>
      <c r="D346"/>
      <c r="E346" s="120"/>
      <c r="F346" s="120"/>
    </row>
    <row r="347" spans="1:6" ht="28.2" thickBot="1" x14ac:dyDescent="0.35">
      <c r="A347" s="120"/>
      <c r="B347" s="127" t="s">
        <v>340</v>
      </c>
      <c r="C347" s="127" t="s">
        <v>268</v>
      </c>
      <c r="D347"/>
      <c r="E347" s="120"/>
      <c r="F347" s="120"/>
    </row>
    <row r="348" spans="1:6" ht="28.2" thickBot="1" x14ac:dyDescent="0.35">
      <c r="A348" s="120"/>
      <c r="B348" s="126" t="s">
        <v>341</v>
      </c>
      <c r="C348" s="127"/>
      <c r="D348"/>
      <c r="E348" s="120"/>
      <c r="F348" s="120"/>
    </row>
    <row r="349" spans="1:6" ht="28.2" thickBot="1" x14ac:dyDescent="0.35">
      <c r="A349" s="120"/>
      <c r="B349" s="127" t="s">
        <v>342</v>
      </c>
      <c r="C349" s="130">
        <v>12500</v>
      </c>
      <c r="D349"/>
      <c r="E349" s="120"/>
      <c r="F349" s="120"/>
    </row>
    <row r="350" spans="1:6" ht="28.2" thickBot="1" x14ac:dyDescent="0.35">
      <c r="A350" s="120"/>
      <c r="B350" s="127" t="s">
        <v>343</v>
      </c>
      <c r="C350" s="127">
        <v>0</v>
      </c>
      <c r="D350"/>
      <c r="E350" s="120"/>
      <c r="F350" s="120"/>
    </row>
    <row r="351" spans="1:6" ht="15" thickBot="1" x14ac:dyDescent="0.35">
      <c r="A351" s="120"/>
      <c r="B351" s="127" t="s">
        <v>344</v>
      </c>
      <c r="C351" s="130">
        <v>1200</v>
      </c>
      <c r="D351"/>
      <c r="E351" s="120"/>
      <c r="F351" s="120"/>
    </row>
    <row r="352" spans="1:6" ht="15" thickBot="1" x14ac:dyDescent="0.35">
      <c r="A352" s="120"/>
      <c r="B352" s="127" t="s">
        <v>345</v>
      </c>
      <c r="C352" s="127">
        <v>0</v>
      </c>
      <c r="D352"/>
      <c r="E352" s="120"/>
      <c r="F352" s="120"/>
    </row>
    <row r="353" spans="1:6" ht="28.2" thickBot="1" x14ac:dyDescent="0.35">
      <c r="A353" s="120"/>
      <c r="B353" s="126" t="s">
        <v>346</v>
      </c>
      <c r="C353" s="127"/>
      <c r="D353"/>
      <c r="E353" s="120"/>
      <c r="F353" s="120"/>
    </row>
    <row r="354" spans="1:6" ht="15" thickBot="1" x14ac:dyDescent="0.35">
      <c r="A354" s="120"/>
      <c r="B354" s="127" t="s">
        <v>347</v>
      </c>
      <c r="C354" s="127">
        <v>500</v>
      </c>
      <c r="D354"/>
      <c r="E354" s="120"/>
      <c r="F354" s="120"/>
    </row>
    <row r="355" spans="1:6" ht="28.2" thickBot="1" x14ac:dyDescent="0.35">
      <c r="A355" s="120"/>
      <c r="B355" s="127" t="s">
        <v>348</v>
      </c>
      <c r="C355" s="127" t="s">
        <v>349</v>
      </c>
      <c r="D355"/>
      <c r="E355" s="120"/>
      <c r="F355" s="120"/>
    </row>
    <row r="356" spans="1:6" ht="15" thickBot="1" x14ac:dyDescent="0.35">
      <c r="A356" s="120"/>
      <c r="B356" s="127" t="s">
        <v>350</v>
      </c>
      <c r="C356" s="130">
        <v>1000</v>
      </c>
      <c r="D356"/>
      <c r="E356" s="120"/>
      <c r="F356" s="120"/>
    </row>
    <row r="357" spans="1:6" ht="15" thickBot="1" x14ac:dyDescent="0.35">
      <c r="A357" s="120"/>
      <c r="B357" s="127" t="s">
        <v>351</v>
      </c>
      <c r="C357" s="127">
        <v>1000</v>
      </c>
      <c r="D357"/>
      <c r="E357" s="120"/>
      <c r="F357" s="120"/>
    </row>
    <row r="358" spans="1:6" ht="15" thickBot="1" x14ac:dyDescent="0.35">
      <c r="A358" s="120"/>
      <c r="B358" s="127" t="s">
        <v>352</v>
      </c>
      <c r="C358" s="127">
        <v>1000</v>
      </c>
      <c r="D358"/>
      <c r="E358" s="120"/>
      <c r="F358" s="120"/>
    </row>
    <row r="359" spans="1:6" ht="28.2" thickBot="1" x14ac:dyDescent="0.35">
      <c r="A359" s="120"/>
      <c r="B359" s="127" t="s">
        <v>353</v>
      </c>
      <c r="C359" s="130">
        <v>1000</v>
      </c>
      <c r="D359"/>
      <c r="E359" s="120"/>
      <c r="F359" s="120"/>
    </row>
    <row r="360" spans="1:6" ht="28.2" thickBot="1" x14ac:dyDescent="0.35">
      <c r="A360" s="120"/>
      <c r="B360" s="126" t="s">
        <v>354</v>
      </c>
      <c r="C360" s="127"/>
      <c r="D360"/>
      <c r="E360" s="120"/>
      <c r="F360" s="120"/>
    </row>
    <row r="361" spans="1:6" ht="15" thickBot="1" x14ac:dyDescent="0.35">
      <c r="A361" s="120"/>
      <c r="B361" s="127" t="s">
        <v>355</v>
      </c>
      <c r="C361" s="127" t="s">
        <v>356</v>
      </c>
      <c r="D361"/>
      <c r="E361" s="120"/>
      <c r="F361" s="120"/>
    </row>
    <row r="362" spans="1:6" x14ac:dyDescent="0.3">
      <c r="A362" s="120"/>
      <c r="B362"/>
      <c r="C362"/>
      <c r="D362"/>
      <c r="E362" s="120"/>
      <c r="F362" s="120"/>
    </row>
    <row r="363" spans="1:6" x14ac:dyDescent="0.3">
      <c r="A363" s="120"/>
      <c r="B363"/>
      <c r="C363"/>
      <c r="D363"/>
      <c r="E363" s="120"/>
      <c r="F363" s="120"/>
    </row>
    <row r="364" spans="1:6" x14ac:dyDescent="0.3">
      <c r="A364" s="120"/>
      <c r="B364" t="s">
        <v>357</v>
      </c>
      <c r="C364" s="131" t="s">
        <v>221</v>
      </c>
      <c r="D364"/>
      <c r="E364" s="120"/>
      <c r="F364" s="120"/>
    </row>
    <row r="365" spans="1:6" x14ac:dyDescent="0.3">
      <c r="A365" s="120"/>
      <c r="B365" t="s">
        <v>358</v>
      </c>
      <c r="C365" s="132">
        <v>46148</v>
      </c>
      <c r="D365"/>
      <c r="E365" s="120"/>
      <c r="F365" s="120"/>
    </row>
    <row r="366" spans="1:6" x14ac:dyDescent="0.3">
      <c r="A366" s="120"/>
      <c r="B366" t="s">
        <v>359</v>
      </c>
      <c r="C366" s="133">
        <v>0.35416666666666669</v>
      </c>
      <c r="D366"/>
      <c r="E366" s="120"/>
      <c r="F366" s="120"/>
    </row>
    <row r="367" spans="1:6" x14ac:dyDescent="0.3">
      <c r="A367" s="120"/>
      <c r="B367" t="s">
        <v>360</v>
      </c>
      <c r="C367" t="s">
        <v>3</v>
      </c>
      <c r="D367"/>
      <c r="E367" s="120"/>
      <c r="F367" s="120"/>
    </row>
    <row r="368" spans="1:6" x14ac:dyDescent="0.3">
      <c r="A368" s="120"/>
      <c r="B368" t="s">
        <v>361</v>
      </c>
      <c r="C368" t="s">
        <v>362</v>
      </c>
      <c r="D368"/>
      <c r="E368" s="120"/>
      <c r="F368" s="120"/>
    </row>
    <row r="369" spans="1:6" x14ac:dyDescent="0.3">
      <c r="A369" s="120"/>
      <c r="B369" t="s">
        <v>363</v>
      </c>
      <c r="C369">
        <v>5454545544</v>
      </c>
      <c r="D369"/>
      <c r="E369" s="120"/>
      <c r="F369" s="120"/>
    </row>
    <row r="370" spans="1:6" x14ac:dyDescent="0.3">
      <c r="A370" s="120"/>
      <c r="B370" t="s">
        <v>364</v>
      </c>
      <c r="C370" s="134" t="s">
        <v>365</v>
      </c>
      <c r="D370"/>
      <c r="E370" s="120"/>
      <c r="F370" s="120"/>
    </row>
    <row r="371" spans="1:6" x14ac:dyDescent="0.3">
      <c r="A371" s="120"/>
      <c r="B371" t="s">
        <v>366</v>
      </c>
      <c r="C371" s="132">
        <v>46305</v>
      </c>
      <c r="D371"/>
      <c r="E371" s="120"/>
      <c r="F371" s="120"/>
    </row>
    <row r="372" spans="1:6" x14ac:dyDescent="0.3">
      <c r="A372" s="120"/>
      <c r="B372" t="s">
        <v>336</v>
      </c>
      <c r="C372">
        <v>656</v>
      </c>
      <c r="D372"/>
      <c r="E372" s="120"/>
      <c r="F372" s="120"/>
    </row>
    <row r="373" spans="1:6" x14ac:dyDescent="0.3">
      <c r="A373" s="120"/>
      <c r="B373"/>
      <c r="C373"/>
      <c r="D373"/>
      <c r="E373" s="120"/>
      <c r="F373" s="120"/>
    </row>
    <row r="374" spans="1:6" x14ac:dyDescent="0.3">
      <c r="A374" s="120"/>
      <c r="B374" t="s">
        <v>367</v>
      </c>
      <c r="C374">
        <v>123456</v>
      </c>
      <c r="D374"/>
      <c r="E374" s="120"/>
      <c r="F374" s="120"/>
    </row>
    <row r="375" spans="1:6" x14ac:dyDescent="0.3">
      <c r="A375" s="120"/>
      <c r="B375"/>
      <c r="C375"/>
      <c r="D375"/>
      <c r="E375" s="120"/>
      <c r="F375" s="120"/>
    </row>
    <row r="376" spans="1:6" x14ac:dyDescent="0.3">
      <c r="A376" s="120"/>
      <c r="B376" t="s">
        <v>368</v>
      </c>
      <c r="C376"/>
      <c r="D376"/>
      <c r="E376" s="120"/>
      <c r="F376" s="120"/>
    </row>
    <row r="377" spans="1:6" x14ac:dyDescent="0.3">
      <c r="A377" s="120"/>
      <c r="B377"/>
      <c r="C377"/>
      <c r="D377"/>
      <c r="E377" s="120"/>
      <c r="F377" s="120"/>
    </row>
    <row r="378" spans="1:6" x14ac:dyDescent="0.3">
      <c r="A378" s="120"/>
      <c r="B378" t="s">
        <v>369</v>
      </c>
      <c r="C378">
        <v>999</v>
      </c>
      <c r="D378"/>
      <c r="E378" s="120"/>
      <c r="F378" s="120"/>
    </row>
    <row r="379" spans="1:6" x14ac:dyDescent="0.3">
      <c r="A379" s="120"/>
      <c r="B379" t="s">
        <v>370</v>
      </c>
      <c r="C379">
        <v>1000</v>
      </c>
      <c r="D379"/>
      <c r="E379" s="120"/>
      <c r="F379" s="120"/>
    </row>
    <row r="380" spans="1:6" x14ac:dyDescent="0.3">
      <c r="A380" s="120"/>
      <c r="B380" s="135" t="s">
        <v>371</v>
      </c>
      <c r="C380">
        <v>1500</v>
      </c>
      <c r="D380"/>
      <c r="E380" s="120"/>
      <c r="F380" s="120"/>
    </row>
    <row r="381" spans="1:6" x14ac:dyDescent="0.3">
      <c r="A381" s="120"/>
      <c r="B381"/>
      <c r="C381"/>
      <c r="D381"/>
      <c r="E381" s="120"/>
      <c r="F381" s="120"/>
    </row>
    <row r="382" spans="1:6" x14ac:dyDescent="0.3">
      <c r="A382" s="120"/>
      <c r="B382"/>
      <c r="C382" s="136"/>
      <c r="D382"/>
      <c r="E382" s="120"/>
      <c r="F382" s="120"/>
    </row>
    <row r="383" spans="1:6" x14ac:dyDescent="0.3">
      <c r="A383" s="120"/>
      <c r="B383"/>
      <c r="C383"/>
      <c r="D383"/>
      <c r="E383" s="120"/>
      <c r="F383" s="120"/>
    </row>
    <row r="384" spans="1:6" x14ac:dyDescent="0.3">
      <c r="A384" s="120"/>
      <c r="B384"/>
      <c r="C384"/>
      <c r="D384"/>
      <c r="E384" s="120"/>
      <c r="F384" s="120"/>
    </row>
    <row r="385" spans="1:6" x14ac:dyDescent="0.3">
      <c r="A385" s="120"/>
      <c r="B385"/>
      <c r="C385"/>
      <c r="D385"/>
      <c r="E385" s="120"/>
      <c r="F385" s="120"/>
    </row>
    <row r="386" spans="1:6" x14ac:dyDescent="0.3">
      <c r="A386" s="120"/>
      <c r="B386"/>
      <c r="C386"/>
      <c r="D386"/>
      <c r="E386" s="120"/>
      <c r="F386" s="120"/>
    </row>
    <row r="387" spans="1:6" x14ac:dyDescent="0.3">
      <c r="A387" s="120"/>
      <c r="B387"/>
      <c r="C387"/>
      <c r="D387"/>
      <c r="E387" s="120"/>
      <c r="F387" s="120"/>
    </row>
    <row r="388" spans="1:6" x14ac:dyDescent="0.3">
      <c r="A388" s="120"/>
      <c r="B388" s="120"/>
      <c r="C388" s="120"/>
      <c r="D388" s="120"/>
      <c r="E388" s="120"/>
      <c r="F388" s="120"/>
    </row>
    <row r="389" spans="1:6" x14ac:dyDescent="0.3">
      <c r="A389" s="120"/>
      <c r="B389" s="120"/>
      <c r="C389" s="120"/>
      <c r="D389" s="120"/>
      <c r="E389" s="120"/>
      <c r="F389" s="120"/>
    </row>
    <row r="390" spans="1:6" x14ac:dyDescent="0.3">
      <c r="A390" s="120"/>
      <c r="B390" s="120"/>
      <c r="C390" s="120"/>
      <c r="D390" s="120"/>
      <c r="E390" s="120"/>
      <c r="F390" s="120"/>
    </row>
    <row r="391" spans="1:6" x14ac:dyDescent="0.3">
      <c r="A391" s="120"/>
      <c r="B391" s="120"/>
      <c r="C391" s="120"/>
      <c r="D391" s="120"/>
      <c r="E391" s="120"/>
      <c r="F391" s="120"/>
    </row>
    <row r="392" spans="1:6" x14ac:dyDescent="0.3">
      <c r="A392" s="120"/>
      <c r="B392" s="120"/>
      <c r="C392" s="120"/>
      <c r="D392" s="120"/>
      <c r="E392" s="120"/>
      <c r="F392" s="120"/>
    </row>
    <row r="393" spans="1:6" x14ac:dyDescent="0.3">
      <c r="A393" s="120"/>
      <c r="B393" s="120"/>
      <c r="C393" s="120"/>
      <c r="D393" s="120"/>
      <c r="E393" s="120"/>
      <c r="F393" s="120"/>
    </row>
  </sheetData>
  <mergeCells count="14">
    <mergeCell ref="U200:V201"/>
    <mergeCell ref="C79:K79"/>
    <mergeCell ref="C82:K82"/>
    <mergeCell ref="B184:K184"/>
    <mergeCell ref="O200:P200"/>
    <mergeCell ref="Q200:R200"/>
    <mergeCell ref="S200:T200"/>
    <mergeCell ref="G31:H31"/>
    <mergeCell ref="I31:J31"/>
    <mergeCell ref="B12:K12"/>
    <mergeCell ref="G29:H29"/>
    <mergeCell ref="I29:J29"/>
    <mergeCell ref="G30:H30"/>
    <mergeCell ref="I30:J30"/>
  </mergeCells>
  <conditionalFormatting sqref="E262:F262">
    <cfRule type="expression" priority="1" stopIfTrue="1">
      <formula>DAYS360(E259,E260,0)/360</formula>
    </cfRule>
  </conditionalFormatting>
  <hyperlinks>
    <hyperlink ref="C370" r:id="rId1" xr:uid="{53C25508-54B9-49B8-9E53-35698B3C0399}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4</xdr:col>
                <xdr:colOff>7620</xdr:colOff>
                <xdr:row>193</xdr:row>
                <xdr:rowOff>45720</xdr:rowOff>
              </from>
              <to>
                <xdr:col>4</xdr:col>
                <xdr:colOff>312420</xdr:colOff>
                <xdr:row>194</xdr:row>
                <xdr:rowOff>152400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JADAV</dc:creator>
  <cp:lastModifiedBy>DHIRAJ JADAV</cp:lastModifiedBy>
  <dcterms:created xsi:type="dcterms:W3CDTF">2026-05-09T10:46:16Z</dcterms:created>
  <dcterms:modified xsi:type="dcterms:W3CDTF">2026-05-24T13:26:33Z</dcterms:modified>
</cp:coreProperties>
</file>