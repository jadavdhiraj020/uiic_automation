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adav\Downloads\SendAnywhere_746022\"/>
    </mc:Choice>
  </mc:AlternateContent>
  <xr:revisionPtr revIDLastSave="0" documentId="13_ncr:1_{930DEE91-A7C1-4A7E-9DB1-B960DEDAE8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5" sheetId="3" r:id="rId3"/>
    <sheet name="Sheet3" sheetId="4" r:id="rId4"/>
    <sheet name="Sheet4" sheetId="5" r:id="rId5"/>
    <sheet name="Sheet6" sheetId="7" r:id="rId6"/>
    <sheet name="Sheet7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35" i="1" l="1"/>
  <c r="N203" i="1"/>
  <c r="P203" i="1" s="1"/>
  <c r="H135" i="1"/>
  <c r="H136" i="1" s="1"/>
  <c r="H137" i="1" s="1"/>
  <c r="D95" i="6"/>
  <c r="D94" i="6"/>
  <c r="H19" i="6"/>
  <c r="D19" i="6"/>
  <c r="J18" i="6"/>
  <c r="D18" i="6"/>
  <c r="E17" i="6"/>
  <c r="K8" i="6"/>
  <c r="C8" i="6"/>
  <c r="C3" i="5"/>
  <c r="G52" i="4"/>
  <c r="G9" i="4"/>
  <c r="G8" i="4"/>
  <c r="K7" i="4"/>
  <c r="G7" i="4"/>
  <c r="G6" i="4"/>
  <c r="I3" i="4"/>
  <c r="H39" i="3"/>
  <c r="K25" i="3"/>
  <c r="G25" i="3"/>
  <c r="G23" i="3"/>
  <c r="G22" i="3"/>
  <c r="G20" i="3"/>
  <c r="G19" i="3"/>
  <c r="G18" i="3"/>
  <c r="G16" i="3"/>
  <c r="G15" i="3"/>
  <c r="L10" i="3"/>
  <c r="D10" i="3"/>
  <c r="F18" i="2"/>
  <c r="F16" i="2"/>
  <c r="F14" i="2"/>
  <c r="F12" i="2"/>
  <c r="F10" i="2"/>
  <c r="F8" i="2"/>
  <c r="F7" i="2"/>
  <c r="F6" i="2"/>
  <c r="E261" i="1"/>
  <c r="F95" i="1" s="1"/>
  <c r="J95" i="1" s="1"/>
  <c r="B139" i="1" s="1"/>
  <c r="F189" i="1"/>
  <c r="F187" i="1"/>
  <c r="G177" i="1"/>
  <c r="G50" i="4" s="1"/>
  <c r="B168" i="1"/>
  <c r="H167" i="1"/>
  <c r="H168" i="1" s="1"/>
  <c r="I161" i="1"/>
  <c r="I163" i="1" s="1"/>
  <c r="H161" i="1"/>
  <c r="H163" i="1" s="1"/>
  <c r="G161" i="1"/>
  <c r="G163" i="1" s="1"/>
  <c r="F161" i="1"/>
  <c r="F163" i="1" s="1"/>
  <c r="I135" i="1"/>
  <c r="N202" i="1" s="1"/>
  <c r="P202" i="1" s="1"/>
  <c r="G135" i="1"/>
  <c r="F135" i="1"/>
  <c r="K30" i="1"/>
  <c r="I30" i="1"/>
  <c r="K29" i="1"/>
  <c r="I29" i="1"/>
  <c r="N201" i="1" l="1"/>
  <c r="P201" i="1" s="1"/>
  <c r="I136" i="1"/>
  <c r="I137" i="1" s="1"/>
  <c r="I140" i="1" s="1"/>
  <c r="C9" i="5"/>
  <c r="C10" i="5" s="1"/>
  <c r="R202" i="1"/>
  <c r="U202" i="1" s="1"/>
  <c r="H139" i="1"/>
  <c r="H140" i="1" s="1"/>
  <c r="H164" i="1"/>
  <c r="R203" i="1"/>
  <c r="U203" i="1" s="1"/>
  <c r="R201" i="1"/>
  <c r="U201" i="1" s="1"/>
  <c r="F136" i="1"/>
  <c r="F137" i="1" s="1"/>
  <c r="F140" i="1" s="1"/>
  <c r="F141" i="1" s="1"/>
  <c r="F174" i="1" s="1"/>
  <c r="F176" i="1" s="1"/>
  <c r="F178" i="1" s="1"/>
  <c r="H169" i="1"/>
  <c r="F175" i="1" s="1"/>
  <c r="G136" i="1"/>
  <c r="G137" i="1" s="1"/>
  <c r="D9" i="5" l="1"/>
  <c r="E9" i="5" s="1"/>
  <c r="E10" i="5" s="1"/>
  <c r="G139" i="1"/>
  <c r="G143" i="1" s="1"/>
  <c r="I167" i="1"/>
  <c r="C14" i="5"/>
  <c r="D10" i="5" l="1"/>
  <c r="G9" i="5"/>
  <c r="G10" i="5" s="1"/>
  <c r="D14" i="5"/>
  <c r="C15" i="5"/>
  <c r="I168" i="1"/>
  <c r="I169" i="1" s="1"/>
  <c r="G171" i="1" s="1"/>
  <c r="G175" i="1" s="1"/>
  <c r="G48" i="4" s="1"/>
  <c r="N204" i="1"/>
  <c r="P204" i="1" s="1"/>
  <c r="G140" i="1"/>
  <c r="G141" i="1" s="1"/>
  <c r="G174" i="1" s="1"/>
  <c r="G46" i="4" l="1"/>
  <c r="G49" i="4" s="1"/>
  <c r="G51" i="4" s="1"/>
  <c r="G53" i="4" s="1"/>
  <c r="G176" i="1"/>
  <c r="G178" i="1" s="1"/>
  <c r="G181" i="1" s="1"/>
  <c r="R204" i="1"/>
  <c r="U204" i="1" s="1"/>
  <c r="U205" i="1" s="1"/>
  <c r="E14" i="5"/>
  <c r="E15" i="5" s="1"/>
  <c r="D15" i="5"/>
  <c r="G14" i="5" l="1"/>
  <c r="G15" i="5" s="1"/>
</calcChain>
</file>

<file path=xl/sharedStrings.xml><?xml version="1.0" encoding="utf-8"?>
<sst xmlns="http://schemas.openxmlformats.org/spreadsheetml/2006/main" count="727" uniqueCount="481">
  <si>
    <t>Er. SUNIL KUMAR</t>
  </si>
  <si>
    <t># 304, Village: Daria,</t>
  </si>
  <si>
    <t>SURVEYOR &amp; LOSS ASSESSOR</t>
  </si>
  <si>
    <t>Near Railway Station, Chandigarh</t>
  </si>
  <si>
    <t>LICENCE NO: 73070   EXPIRY: 08.02.2028</t>
  </si>
  <si>
    <t>Mobile: 098761-35253</t>
  </si>
  <si>
    <t>PAN NO:  AQUPK1480C</t>
  </si>
  <si>
    <t>e-mail:- ksunilsurveyor@gmail.com</t>
  </si>
  <si>
    <t>Ref:</t>
  </si>
  <si>
    <t>SK/2025-26/OICL/9873</t>
  </si>
  <si>
    <t>Date:</t>
  </si>
  <si>
    <t>PRIVATE &amp; CONFIDENTIAL SURVEY REPORT</t>
  </si>
  <si>
    <t>The report is issued by me as Licenced surveyor without prejudice in respect of cause, nature &amp; extent of loss/damages and subject to the terms and conditions of Insurance Policy.</t>
  </si>
  <si>
    <t>a</t>
  </si>
  <si>
    <t>INSURERS</t>
  </si>
  <si>
    <t>:</t>
  </si>
  <si>
    <t>NA</t>
  </si>
  <si>
    <t>IDV=</t>
  </si>
  <si>
    <t>ADDRESS</t>
  </si>
  <si>
    <t>b</t>
  </si>
  <si>
    <t xml:space="preserve">COVER NOTE/POLICY NO.     </t>
  </si>
  <si>
    <t>Period:</t>
  </si>
  <si>
    <t>c</t>
  </si>
  <si>
    <t>INSURED</t>
  </si>
  <si>
    <t xml:space="preserve">ADDRESS </t>
  </si>
  <si>
    <t>CONTACT NO.</t>
  </si>
  <si>
    <t>d</t>
  </si>
  <si>
    <t>HPA WITH</t>
  </si>
  <si>
    <t>MAGMA FINCORP LTD</t>
  </si>
  <si>
    <t>VEHICLE PARTICULARS</t>
  </si>
  <si>
    <t>RC Original Checked &amp; Found In Order</t>
  </si>
  <si>
    <t>Registration No.</t>
  </si>
  <si>
    <t>HR49H9873</t>
  </si>
  <si>
    <t>Date of Registration issue</t>
  </si>
  <si>
    <t>20.11.2019</t>
  </si>
  <si>
    <t>Date of Registration expiry</t>
  </si>
  <si>
    <t>19.11.2034</t>
  </si>
  <si>
    <t>Physically Checked</t>
  </si>
  <si>
    <t>As Per RC</t>
  </si>
  <si>
    <t>As Per Ins.</t>
  </si>
  <si>
    <t>Chassis No</t>
  </si>
  <si>
    <t>S00546022</t>
  </si>
  <si>
    <t>e</t>
  </si>
  <si>
    <t>Engine No</t>
  </si>
  <si>
    <t>N8272201</t>
  </si>
  <si>
    <t>f</t>
  </si>
  <si>
    <t>Make &amp; Year of Manufacturer</t>
  </si>
  <si>
    <t>MARUTI ALTO K10 VXI</t>
  </si>
  <si>
    <t>g</t>
  </si>
  <si>
    <t>Type of Body</t>
  </si>
  <si>
    <t>SALOON CAR</t>
  </si>
  <si>
    <t>h</t>
  </si>
  <si>
    <t>Class of Vehicle</t>
  </si>
  <si>
    <t>Motor Car - NT</t>
  </si>
  <si>
    <t>i</t>
  </si>
  <si>
    <t>Pre-Accident Condition</t>
  </si>
  <si>
    <t>Stated to be normal road worthy</t>
  </si>
  <si>
    <t>j</t>
  </si>
  <si>
    <t>Registered Laden Weight</t>
  </si>
  <si>
    <t>k</t>
  </si>
  <si>
    <t>Unladen Weight</t>
  </si>
  <si>
    <t>l</t>
  </si>
  <si>
    <t>Fitness Cert Valid Upto</t>
  </si>
  <si>
    <t>Permit No.</t>
  </si>
  <si>
    <t>Valid Upto</t>
  </si>
  <si>
    <t>Type of Permit</t>
  </si>
  <si>
    <t>Route/area of Operation</t>
  </si>
  <si>
    <t>m</t>
  </si>
  <si>
    <t xml:space="preserve">Seating Capacity </t>
  </si>
  <si>
    <t>n</t>
  </si>
  <si>
    <t>Road Tax Paid Upto</t>
  </si>
  <si>
    <t>19/11/2034</t>
  </si>
  <si>
    <t>Fuel used: PETROL</t>
  </si>
  <si>
    <t>o</t>
  </si>
  <si>
    <t>Name of Regd. Owner as per RC</t>
  </si>
  <si>
    <t>Colour:</t>
  </si>
  <si>
    <t>SUPERIOR WHITE</t>
  </si>
  <si>
    <t>p</t>
  </si>
  <si>
    <t>Cubic capacity</t>
  </si>
  <si>
    <t>DRIVER'S PARTICULARS</t>
  </si>
  <si>
    <t>DL Original Checked &amp; Found In Order</t>
  </si>
  <si>
    <t>Name of Driver</t>
  </si>
  <si>
    <t>JANG SINGH</t>
  </si>
  <si>
    <t>DOB:</t>
  </si>
  <si>
    <t>25.07.1994</t>
  </si>
  <si>
    <t>Address</t>
  </si>
  <si>
    <t>VILL. KARANPUR PO NΑΝΑKPUR,
Pinjore (MC), Kalka, Panchkula, HR, 133302</t>
  </si>
  <si>
    <t/>
  </si>
  <si>
    <t>City/State</t>
  </si>
  <si>
    <t>Panchkula, HR</t>
  </si>
  <si>
    <t xml:space="preserve">LICENCE NO. </t>
  </si>
  <si>
    <t>HR49 2016 0000013</t>
  </si>
  <si>
    <t>HR49/PDL/0000013/2016</t>
  </si>
  <si>
    <t>Date of issue</t>
  </si>
  <si>
    <t>20-09-2016</t>
  </si>
  <si>
    <t>Valid Till</t>
  </si>
  <si>
    <t>Issuing Authority</t>
  </si>
  <si>
    <t>SDM Office Kalka</t>
  </si>
  <si>
    <t>Type of Licence</t>
  </si>
  <si>
    <t>LMV-MCWG</t>
  </si>
  <si>
    <t>ACCIDENT HISTORY</t>
  </si>
  <si>
    <t>Date of Accident</t>
  </si>
  <si>
    <t>Place of Accident</t>
  </si>
  <si>
    <t>DETAIL OF SURVEY</t>
  </si>
  <si>
    <t>Date of Allotment of Survey</t>
  </si>
  <si>
    <t>Date and Time of Survey</t>
  </si>
  <si>
    <t>Date of Spot Survey Report Recd.</t>
  </si>
  <si>
    <t>Spot Survey not received.</t>
  </si>
  <si>
    <t>Person Present at the Time of Survey</t>
  </si>
  <si>
    <t>Repairer was present</t>
  </si>
  <si>
    <t>PLACE OF SURVEY</t>
  </si>
  <si>
    <t>Workshop</t>
  </si>
  <si>
    <t>Govind Motor</t>
  </si>
  <si>
    <t>Pinjore Nalagarh Road Bsola Grada, Near New Petrol Pump, Distt. Panchkula, Haryana - 134112</t>
  </si>
  <si>
    <t>Status</t>
  </si>
  <si>
    <t>SERVICE MANAGER</t>
  </si>
  <si>
    <t>FIR DETAIL</t>
  </si>
  <si>
    <t>Nil (As Per Claim Form)</t>
  </si>
  <si>
    <t>INJURY/THIRD PARTY LOSS</t>
  </si>
  <si>
    <t>CAUSE AND NATURE OF ACCIDENT</t>
  </si>
  <si>
    <t>As stated in the Claim Form,</t>
  </si>
  <si>
    <t>OBERVATIONS/COMMENTS</t>
  </si>
  <si>
    <t>MAIN DAMAGES</t>
  </si>
  <si>
    <t>fut Bumper, fender LH, fut Door LH, Rear Door LH, Quter Panel LH, Rear Bumper, fender RH, fut Door RH, etc,etc.</t>
  </si>
  <si>
    <t>NOTES:</t>
  </si>
  <si>
    <t>The salvage of the vehicle has been destroyed/crushed in the presence of the Repairer.</t>
  </si>
  <si>
    <t>Re-inspection too has been done by me. All the replacemnets of parts and repair job have been dully carried out.</t>
  </si>
  <si>
    <t>Insured's vehicle has NIL DEP Policy.</t>
  </si>
  <si>
    <t>DETAIL OF ASSESSMENT</t>
  </si>
  <si>
    <t>COMPULSORY DEDUCTIBLE</t>
  </si>
  <si>
    <t>LIFE OF VEHICLE ( IN YEARS )</t>
  </si>
  <si>
    <t>SO, DEP. ON METAL (IN %)</t>
  </si>
  <si>
    <t>GSTIN (IN %) FOR PARTS</t>
  </si>
  <si>
    <t>GSTIN (IN %) FOR LABOUR</t>
  </si>
  <si>
    <t>GST 18%</t>
  </si>
  <si>
    <t>S.N.</t>
  </si>
  <si>
    <t>Part Discription</t>
  </si>
  <si>
    <t>Estimated</t>
  </si>
  <si>
    <t>Metal</t>
  </si>
  <si>
    <t>Plastic</t>
  </si>
  <si>
    <t>Glass</t>
  </si>
  <si>
    <t>Extra</t>
  </si>
  <si>
    <t>Invoice No</t>
  </si>
  <si>
    <t>fut Bumper</t>
  </si>
  <si>
    <t>fender LH</t>
  </si>
  <si>
    <t>fut Door LH</t>
  </si>
  <si>
    <t>N.A.</t>
  </si>
  <si>
    <t>Rear Door LH</t>
  </si>
  <si>
    <t>Quter Panel LH</t>
  </si>
  <si>
    <t>Rear Bumper</t>
  </si>
  <si>
    <t>fender RH</t>
  </si>
  <si>
    <t>fut Door RH</t>
  </si>
  <si>
    <t>Rear Door RH</t>
  </si>
  <si>
    <t>Quter Panel RH</t>
  </si>
  <si>
    <t>Side minor RH</t>
  </si>
  <si>
    <t>Side mirror LH</t>
  </si>
  <si>
    <t>feet Bumper Bubt</t>
  </si>
  <si>
    <t>Flood</t>
  </si>
  <si>
    <t>Carbone Cheye Accedator</t>
  </si>
  <si>
    <t>UNIT HEAD LAMP LH</t>
  </si>
  <si>
    <t>LABOUR CHARGE ACCIDENTAL</t>
  </si>
  <si>
    <t>SUB TOTAL</t>
  </si>
  <si>
    <t>% ADD GST (9%CGST+9%SGST)</t>
  </si>
  <si>
    <t>LESS DEPRECIATION:</t>
  </si>
  <si>
    <t>% OF METAL &amp; 50% OF PLASTIC</t>
  </si>
  <si>
    <t>NET FOR PARTS</t>
  </si>
  <si>
    <t>TOTAL NET FOR PARTS</t>
  </si>
  <si>
    <t>TOTAL AMOUNT OF DEPRECIATION (In Rs):</t>
  </si>
  <si>
    <t>LABOUR DETAIL</t>
  </si>
  <si>
    <t>LABOUR ESTIMATED</t>
  </si>
  <si>
    <t>DESCRIPTION</t>
  </si>
  <si>
    <t>R/R</t>
  </si>
  <si>
    <t>DENTING</t>
  </si>
  <si>
    <t>C/W</t>
  </si>
  <si>
    <t>PAINTING</t>
  </si>
  <si>
    <t>TOTAL (R/R, DENTING, C/W, PAINTING)</t>
  </si>
  <si>
    <t xml:space="preserve">LABOUR </t>
  </si>
  <si>
    <t>Assessed</t>
  </si>
  <si>
    <t>NET FOR LABOUR</t>
  </si>
  <si>
    <t>TOTAL AMOUNT OF LABOUR ASSESSED (in Rs):</t>
  </si>
  <si>
    <t>SUMMARY</t>
  </si>
  <si>
    <t>PARTS</t>
  </si>
  <si>
    <t>LABOUR</t>
  </si>
  <si>
    <t>LESS EXCESS CLAUSE</t>
  </si>
  <si>
    <t>NET PAYABLE</t>
  </si>
  <si>
    <t xml:space="preserve">LESS SALVAGE VALUE </t>
  </si>
  <si>
    <t>NET PAYABLE AMOUNT</t>
  </si>
  <si>
    <t>Report issued without prejudice or bias and is subject to the term and condition of the Policy and subject claim document being found in order. The Repairer/Insured has concurred with assessment.The damages are commensurate with the cause and nature of accident. The rates allowed are as per Authorised Dealer/Market rates which ever is less. Claim Form, Estimate, SF Bill, Photographs, Photocopies of RC, DL, C.Note, etc etc are enclosed.</t>
  </si>
  <si>
    <t>Physically Verified Major Assemblies</t>
  </si>
  <si>
    <t>Chassis Number</t>
  </si>
  <si>
    <t>Engine Number</t>
  </si>
  <si>
    <t>PAYMENT MADE IN THE FAVOUR OF REPAIRER</t>
  </si>
  <si>
    <t xml:space="preserve">              SUNIL KUMAR</t>
  </si>
  <si>
    <t>CASHLESS CLAIM</t>
  </si>
  <si>
    <t>SUMMARRY OF GST:</t>
  </si>
  <si>
    <t>HSN/SAC CODE</t>
  </si>
  <si>
    <t>Taxable Amount</t>
  </si>
  <si>
    <t>SGST/UTGST</t>
  </si>
  <si>
    <t>CGST</t>
  </si>
  <si>
    <t>ISGT</t>
  </si>
  <si>
    <t>Total Amount of GST</t>
  </si>
  <si>
    <t>Rate</t>
  </si>
  <si>
    <t>Amt.</t>
  </si>
  <si>
    <t>TOTAL AMOUNT OF GST ALLOWED</t>
  </si>
  <si>
    <t>Date of Registration/isurance</t>
  </si>
  <si>
    <t>MOTOR SURVEY REPORT</t>
  </si>
  <si>
    <t>INSURER</t>
  </si>
  <si>
    <t>VEHICLE REG. NO.</t>
  </si>
  <si>
    <t>C.NOTE/POLICY NO.</t>
  </si>
  <si>
    <t xml:space="preserve">PERIOD </t>
  </si>
  <si>
    <t>DATE OF LOSS</t>
  </si>
  <si>
    <t>PAYMENT TO BE MADE IN THE FAVOUR OF REPAIRER</t>
  </si>
  <si>
    <t>REPORT SUBMITTED BY:</t>
  </si>
  <si>
    <t xml:space="preserve">          # 304, Village: Daria,</t>
  </si>
  <si>
    <t xml:space="preserve">          Near Railway Station, Chandigarh</t>
  </si>
  <si>
    <t xml:space="preserve">          Mobile: 098761-35253</t>
  </si>
  <si>
    <t xml:space="preserve">          e-mail:- ksunilsurveyor@gmail.com</t>
  </si>
  <si>
    <t xml:space="preserve"># 304, Village: Daria, </t>
  </si>
  <si>
    <t>LICENCE NO: 73070  EXPIRY: 08.02.2028</t>
  </si>
  <si>
    <t>E-mail: ksunilsurveyor@gmail.com</t>
  </si>
  <si>
    <t>SURVEY FEE BILL</t>
  </si>
  <si>
    <t>VEHICLE/ITEM</t>
  </si>
  <si>
    <t>C NOTE/POLICY NO.</t>
  </si>
  <si>
    <t>PROFESSIONAL FEE</t>
  </si>
  <si>
    <t>Rs</t>
  </si>
  <si>
    <t>CONVEYANCE CHARGES</t>
  </si>
  <si>
    <t>PHOTOGRAPHS</t>
  </si>
  <si>
    <t>(20x10=200.00)</t>
  </si>
  <si>
    <t>(Digital Photographs)</t>
  </si>
  <si>
    <t>DAILY ALLOWANCE</t>
  </si>
  <si>
    <t>MISCELLANEOUS</t>
  </si>
  <si>
    <t>----------------------</t>
  </si>
  <si>
    <t>TOTAL</t>
  </si>
  <si>
    <t>SURVEYOR CODE:</t>
  </si>
  <si>
    <t>SU00033917</t>
  </si>
  <si>
    <t xml:space="preserve">     FOR NEFT PAYMENT</t>
  </si>
  <si>
    <t>(SUNIL KUMAR)</t>
  </si>
  <si>
    <t xml:space="preserve">     BANK ACCOUNT DETAILS</t>
  </si>
  <si>
    <t xml:space="preserve">     BANK NAME:</t>
  </si>
  <si>
    <t>BANK OF INDIA</t>
  </si>
  <si>
    <t xml:space="preserve">     A/C NUMBER:</t>
  </si>
  <si>
    <t>620110110000751</t>
  </si>
  <si>
    <t xml:space="preserve">     A/C TYPE:</t>
  </si>
  <si>
    <t>SAVING</t>
  </si>
  <si>
    <t xml:space="preserve">     IFSC CODE:</t>
  </si>
  <si>
    <t>BKID0006201</t>
  </si>
  <si>
    <t xml:space="preserve">     MICRO CODE:</t>
  </si>
  <si>
    <t>160013003</t>
  </si>
  <si>
    <t>CASHLESS----PAYMENT TO:-</t>
  </si>
  <si>
    <t>INSURED NAME</t>
  </si>
  <si>
    <t>POLICY NO. &amp; PERIOD</t>
  </si>
  <si>
    <t>VEHICLE NO.</t>
  </si>
  <si>
    <t>BILL GENERATION DATE</t>
  </si>
  <si>
    <t>LIST OF DOCUMENTS CHECK AND FOUIND IN ORDER</t>
  </si>
  <si>
    <t>SURVEOR DEPUTATION</t>
  </si>
  <si>
    <t>Attached</t>
  </si>
  <si>
    <t>INTIMATION</t>
  </si>
  <si>
    <t>CLAIM FORM</t>
  </si>
  <si>
    <t>POLICY COPY</t>
  </si>
  <si>
    <t>PREVIOUS POLICY</t>
  </si>
  <si>
    <t>TP POLICY (BUNDLED)</t>
  </si>
  <si>
    <t>64VB</t>
  </si>
  <si>
    <t>NO CLAIM BONUS</t>
  </si>
  <si>
    <t>NIL</t>
  </si>
  <si>
    <t>GAP REPORT</t>
  </si>
  <si>
    <t>DL &amp; RC</t>
  </si>
  <si>
    <t>ONLINE VERIFICATION</t>
  </si>
  <si>
    <t>ONLY FOR COMERCIAL VEHICLE</t>
  </si>
  <si>
    <t>PERMIT</t>
  </si>
  <si>
    <t>MV TAX</t>
  </si>
  <si>
    <t>STATE ENTRY TAX</t>
  </si>
  <si>
    <t>AUTHORIZATION</t>
  </si>
  <si>
    <t>FITNESS</t>
  </si>
  <si>
    <t>NO TP LOSS AFFIDAVIT</t>
  </si>
  <si>
    <t>KYC FORM (PAN +AADHAR)</t>
  </si>
  <si>
    <t>PAN+AADHAR</t>
  </si>
  <si>
    <t>SURVEY REPORT</t>
  </si>
  <si>
    <t>ESTIMATE</t>
  </si>
  <si>
    <t>REPAIR INVOICE</t>
  </si>
  <si>
    <t xml:space="preserve">DEPRECIATION RECIEPT </t>
  </si>
  <si>
    <t>INVOICE NO PART</t>
  </si>
  <si>
    <t>ANY OTHER DOCUMENT</t>
  </si>
  <si>
    <t>NO. OF CLAIM</t>
  </si>
  <si>
    <t>PARTS ALLOWED</t>
  </si>
  <si>
    <t>TOWING CHARGES</t>
  </si>
  <si>
    <t>LABOUR ALLOWED</t>
  </si>
  <si>
    <t>LESS SALVAGE</t>
  </si>
  <si>
    <t>VEHICLE NO.:</t>
  </si>
  <si>
    <t>GST % ON PARTS</t>
  </si>
  <si>
    <t>ACTUAL ALLOWED</t>
  </si>
  <si>
    <t>C GST</t>
  </si>
  <si>
    <t>SGDT</t>
  </si>
  <si>
    <t>I GST</t>
  </si>
  <si>
    <t>GRAND TOTAL</t>
  </si>
  <si>
    <t>LABOUR 18%</t>
  </si>
  <si>
    <t>PRIVATE &amp; CONFIDENTIAL MOTOR RE-INSPECTION SURVEY REPORT</t>
  </si>
  <si>
    <t xml:space="preserve">To, </t>
  </si>
  <si>
    <t xml:space="preserve">Sub: </t>
  </si>
  <si>
    <t xml:space="preserve">Reinspection of </t>
  </si>
  <si>
    <t xml:space="preserve">A/C </t>
  </si>
  <si>
    <t xml:space="preserve">         Date of Accident:</t>
  </si>
  <si>
    <t>C. No.</t>
  </si>
  <si>
    <t>Sir,</t>
  </si>
  <si>
    <t xml:space="preserve">Fllowing are the details: </t>
  </si>
  <si>
    <t>Whether all parts allowed for replacement by final survey report have been actually been replaced</t>
  </si>
  <si>
    <t>with the new parts. The details are as under:</t>
  </si>
  <si>
    <t>Particulars</t>
  </si>
  <si>
    <t>Remarks</t>
  </si>
  <si>
    <t>Salvage</t>
  </si>
  <si>
    <t>Salvage:</t>
  </si>
  <si>
    <t>Labour/Repair</t>
  </si>
  <si>
    <t>The re-inspection report is " without prejudice"</t>
  </si>
  <si>
    <t>Thanking you</t>
  </si>
  <si>
    <t>Enclosures:</t>
  </si>
  <si>
    <t>Final survey report</t>
  </si>
  <si>
    <t xml:space="preserve">Re-inspection report &amp; photographs </t>
  </si>
  <si>
    <t>Survey fee bill</t>
  </si>
  <si>
    <t>I have physically verified the following Major Assembilies:</t>
  </si>
  <si>
    <t>Chassis No.</t>
  </si>
  <si>
    <t>Engine No.</t>
  </si>
  <si>
    <t>kkk</t>
  </si>
  <si>
    <t>20/03/2026</t>
  </si>
  <si>
    <t>at 10 am</t>
  </si>
  <si>
    <t>claim no</t>
  </si>
  <si>
    <t>2012013126C050003001</t>
  </si>
  <si>
    <t>initial loss assessment</t>
  </si>
  <si>
    <t>servey address</t>
  </si>
  <si>
    <t xml:space="preserve">agra </t>
  </si>
  <si>
    <t>Imposed Excess</t>
  </si>
  <si>
    <t xml:space="preserve">hello </t>
  </si>
  <si>
    <t>delhi</t>
  </si>
  <si>
    <t>Nil Depreciation</t>
  </si>
  <si>
    <t>yes</t>
  </si>
  <si>
    <t>gkrjfkjfdkbgjfkng</t>
  </si>
  <si>
    <t>Less Any Other Deductions</t>
  </si>
  <si>
    <t>additionol towing charges</t>
  </si>
  <si>
    <t>Towing Charges</t>
  </si>
  <si>
    <t>payment to repairer</t>
  </si>
  <si>
    <t>reference no</t>
  </si>
  <si>
    <t>Primary Assessment</t>
  </si>
  <si>
    <t>transfer date</t>
  </si>
  <si>
    <t>FJ@GMAIL.COM</t>
  </si>
  <si>
    <t>email id</t>
  </si>
  <si>
    <t>mobile no</t>
  </si>
  <si>
    <t>Ok</t>
  </si>
  <si>
    <t xml:space="preserve">remarks </t>
  </si>
  <si>
    <t>place of servey</t>
  </si>
  <si>
    <t>time of servey</t>
  </si>
  <si>
    <t>date of servey</t>
  </si>
  <si>
    <t>35010231260390000105</t>
  </si>
  <si>
    <t>Claim No.</t>
  </si>
  <si>
    <t>Checked (Verified)</t>
  </si>
  <si>
    <t>Verification Checkbox</t>
  </si>
  <si>
    <t>--- FINAL VERIFICATION ---</t>
  </si>
  <si>
    <t>Towing / Additional Towing Charges</t>
  </si>
  <si>
    <t>Less Imposed Excess</t>
  </si>
  <si>
    <t>Less Voluntary Excess</t>
  </si>
  <si>
    <t>Less Compulsory Excess</t>
  </si>
  <si>
    <t>Invoice 1</t>
  </si>
  <si>
    <t>Net Salvage to map with which Invoice?</t>
  </si>
  <si>
    <t>Net Salvage</t>
  </si>
  <si>
    <t>--- SECTION: FINAL DEDUCTIONS ---</t>
  </si>
  <si>
    <t>Key Protect Amount</t>
  </si>
  <si>
    <t>Consumable Items Amount</t>
  </si>
  <si>
    <t>Engine Protect Extension Amount</t>
  </si>
  <si>
    <t>Nil Depreciation (Zero Dep) Amount</t>
  </si>
  <si>
    <t>--- SECTION: ADD-ON COVERS ---</t>
  </si>
  <si>
    <t>No</t>
  </si>
  <si>
    <t>Whether Re-Inspection Required</t>
  </si>
  <si>
    <t>break-up</t>
  </si>
  <si>
    <t>Painting work details</t>
  </si>
  <si>
    <t>Is there any supplementary estimate?</t>
  </si>
  <si>
    <t>Yes</t>
  </si>
  <si>
    <t>INV/KIA/2026/789</t>
  </si>
  <si>
    <t>Vendor/Tax Invoice Number</t>
  </si>
  <si>
    <t>Vendor/Tax Invoice Date</t>
  </si>
  <si>
    <t>Is GST Applicable?</t>
  </si>
  <si>
    <t>Whether Payment invoice is in name of NIA</t>
  </si>
  <si>
    <t>No of invoices available</t>
  </si>
  <si>
    <t>Work Approval Time</t>
  </si>
  <si>
    <t>22/04/2026</t>
  </si>
  <si>
    <t>Work Approval Date</t>
  </si>
  <si>
    <t>Cashless approved</t>
  </si>
  <si>
    <t>Approval Type</t>
  </si>
  <si>
    <t>--- SECTION: WORK APPROVAL &amp; ASSESSMENT ---</t>
  </si>
  <si>
    <t>NEFT</t>
  </si>
  <si>
    <t>Party Payment Method</t>
  </si>
  <si>
    <t>SAVINGS</t>
  </si>
  <si>
    <t>Account Type</t>
  </si>
  <si>
    <t>Re-Enter Account Number</t>
  </si>
  <si>
    <t>Account Number</t>
  </si>
  <si>
    <t>Plot No 1, Sector 17, Chandigarh</t>
  </si>
  <si>
    <t>Bank Address</t>
  </si>
  <si>
    <t>Main Branch, Chandigarh</t>
  </si>
  <si>
    <t>Bank Branch Name</t>
  </si>
  <si>
    <t>State Bank of India</t>
  </si>
  <si>
    <t>Bank Name</t>
  </si>
  <si>
    <t>SBIN0001234</t>
  </si>
  <si>
    <t>IFSC Code</t>
  </si>
  <si>
    <t>POC7902963</t>
  </si>
  <si>
    <t>Policy Holder Code</t>
  </si>
  <si>
    <t>Pritpal Singh</t>
  </si>
  <si>
    <t>Policy Holder Name</t>
  </si>
  <si>
    <t>Insured</t>
  </si>
  <si>
    <t>Provide bank details for payment to</t>
  </si>
  <si>
    <t>--- SECTION: BANK / NEFT DETAILS ---</t>
  </si>
  <si>
    <t>FIR filed within 24 hours of incident.</t>
  </si>
  <si>
    <t>IPC 279, 337</t>
  </si>
  <si>
    <t>Sections of Law</t>
  </si>
  <si>
    <t>Satnam Singh</t>
  </si>
  <si>
    <t>Name of the Informant</t>
  </si>
  <si>
    <t>Sector 17 Police Station</t>
  </si>
  <si>
    <t>Police Station Name</t>
  </si>
  <si>
    <t>Section 279</t>
  </si>
  <si>
    <t>Charged U/S IPC</t>
  </si>
  <si>
    <t>Section 184</t>
  </si>
  <si>
    <t>Charged U/S Motor Vehicle Act</t>
  </si>
  <si>
    <t>19/04/2026</t>
  </si>
  <si>
    <t>FIR Date</t>
  </si>
  <si>
    <t>2024/0456</t>
  </si>
  <si>
    <t>FIR Number</t>
  </si>
  <si>
    <t>--- SECTION: FIR DETAILS ---</t>
  </si>
  <si>
    <t>Badge Number</t>
  </si>
  <si>
    <t>19/01/2025</t>
  </si>
  <si>
    <t>Driver Driving License Expiry Date</t>
  </si>
  <si>
    <t>20/01/2005</t>
  </si>
  <si>
    <t>Driver Driving License Issue Date</t>
  </si>
  <si>
    <t>CH0120050012345</t>
  </si>
  <si>
    <t>Driver Driving License Number</t>
  </si>
  <si>
    <t>RLA Chandigarh</t>
  </si>
  <si>
    <t>License Issuing Authority</t>
  </si>
  <si>
    <t>Is the motor driving license valid?</t>
  </si>
  <si>
    <t>Age of Driver</t>
  </si>
  <si>
    <t>Driver Name</t>
  </si>
  <si>
    <t>DOB of Driver</t>
  </si>
  <si>
    <t>Transport vehicle</t>
  </si>
  <si>
    <t>License Type of Driver</t>
  </si>
  <si>
    <t>Self</t>
  </si>
  <si>
    <t>Relationship of the driver with the Insured</t>
  </si>
  <si>
    <t>Was the vehicle parked during accident?</t>
  </si>
  <si>
    <t>--- SECTION: DRIVER DETAILS ---</t>
  </si>
  <si>
    <t>Transfer Date</t>
  </si>
  <si>
    <t>14/05/2036</t>
  </si>
  <si>
    <t>Tax Paid Upto</t>
  </si>
  <si>
    <t>City Limits - Sector 17</t>
  </si>
  <si>
    <t>Route/Area of Operation</t>
  </si>
  <si>
    <t>Frontal collision with a divider due to sudden braking.</t>
  </si>
  <si>
    <t>Cause and Nature of Accident</t>
  </si>
  <si>
    <t>N/A</t>
  </si>
  <si>
    <t>Vehicle Details Mismatch Remarks</t>
  </si>
  <si>
    <t>Whether Vehicle Details are matching with policy?</t>
  </si>
  <si>
    <t>Petrol</t>
  </si>
  <si>
    <t>Type of Fuel</t>
  </si>
  <si>
    <t>Private Car</t>
  </si>
  <si>
    <t>Type of Vehicle</t>
  </si>
  <si>
    <t>AS PER RC</t>
  </si>
  <si>
    <t>Vehicle Color Type</t>
  </si>
  <si>
    <t>White</t>
  </si>
  <si>
    <t>Vehicle Color</t>
  </si>
  <si>
    <t>24,500 km</t>
  </si>
  <si>
    <t>Odometer Reading</t>
  </si>
  <si>
    <t>Chandigarh RTO</t>
  </si>
  <si>
    <t>RTO Name</t>
  </si>
  <si>
    <t>Excellent</t>
  </si>
  <si>
    <t>SUV</t>
  </si>
  <si>
    <t>CARENS</t>
  </si>
  <si>
    <t>Model</t>
  </si>
  <si>
    <t>KIA</t>
  </si>
  <si>
    <t>Vehicle Make</t>
  </si>
  <si>
    <t>Physically Verified</t>
  </si>
  <si>
    <t>MZBGE813LNN064404</t>
  </si>
  <si>
    <t>D4FANM727540</t>
  </si>
  <si>
    <t>19/01/2023</t>
  </si>
  <si>
    <t>Date of Registration</t>
  </si>
  <si>
    <t>GJ10AB1010</t>
  </si>
  <si>
    <t>Vehicle Registration Number</t>
  </si>
  <si>
    <t>PRITPAL SINGH</t>
  </si>
  <si>
    <t>Registered Owner Name</t>
  </si>
  <si>
    <t>--- SECTION: VEHICLE DETAILS ---</t>
  </si>
  <si>
    <t>Dummy Value (Data)</t>
  </si>
  <si>
    <t>Label (Field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</si>
</sst>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yy;@"/>
    <numFmt numFmtId="165" formatCode="[$-409]mmmmm\-yy;@"/>
  </numFmts>
  <fonts count="19" x14ac:knownFonts="1"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u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4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sz val="10"/>
      <color rgb="FFFFFFFF"/>
      <name val="Times New Roman"/>
      <family val="1"/>
    </font>
    <font>
      <b/>
      <u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9"/>
      <color theme="10"/>
      <name val="Times New Roman"/>
      <family val="1"/>
    </font>
    <font>
      <sz val="8"/>
      <color rgb="FF000D6C"/>
      <name val="Segoe U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solid">
        <fgColor rgb="FF7F7F7F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999999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2" borderId="30"/>
    <xf numFmtId="9" fontId="14" fillId="2" borderId="30"/>
    <xf numFmtId="0" fontId="15" fillId="2" borderId="30" applyNumberFormat="0" applyFill="0" applyBorder="0" applyAlignment="0" applyProtection="0"/>
  </cellStyleXfs>
  <cellXfs count="217">
    <xf numFmtId="0" fontId="0" fillId="0" borderId="0" xfId="0" applyFill="1" applyBorder="1"/>
    <xf numFmtId="0" fontId="1" fillId="0" borderId="0" xfId="0" applyFont="1" applyFill="1" applyBorder="1"/>
    <xf numFmtId="0" fontId="1" fillId="0" borderId="1" xfId="0" applyFont="1" applyFill="1" applyBorder="1"/>
    <xf numFmtId="0" fontId="2" fillId="0" borderId="0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2" fillId="0" borderId="1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justify" vertical="justify"/>
    </xf>
    <xf numFmtId="0" fontId="1" fillId="0" borderId="0" xfId="0" applyFont="1" applyFill="1" applyBorder="1" applyAlignment="1">
      <alignment vertical="justify"/>
    </xf>
    <xf numFmtId="0" fontId="1" fillId="0" borderId="6" xfId="0" applyFont="1" applyFill="1" applyBorder="1"/>
    <xf numFmtId="0" fontId="1" fillId="0" borderId="7" xfId="0" applyFont="1" applyFill="1" applyBorder="1"/>
    <xf numFmtId="0" fontId="1" fillId="0" borderId="7" xfId="0" applyFont="1" applyFill="1" applyBorder="1" applyAlignment="1">
      <alignment horizontal="right"/>
    </xf>
    <xf numFmtId="0" fontId="1" fillId="0" borderId="8" xfId="0" applyFont="1" applyFill="1" applyBorder="1"/>
    <xf numFmtId="0" fontId="2" fillId="0" borderId="3" xfId="0" applyFont="1" applyFill="1" applyBorder="1"/>
    <xf numFmtId="2" fontId="1" fillId="0" borderId="9" xfId="0" applyNumberFormat="1" applyFont="1" applyFill="1" applyBorder="1"/>
    <xf numFmtId="2" fontId="1" fillId="0" borderId="2" xfId="0" applyNumberFormat="1" applyFont="1" applyFill="1" applyBorder="1"/>
    <xf numFmtId="2" fontId="1" fillId="0" borderId="5" xfId="0" applyNumberFormat="1" applyFont="1" applyFill="1" applyBorder="1"/>
    <xf numFmtId="2" fontId="1" fillId="0" borderId="4" xfId="0" applyNumberFormat="1" applyFont="1" applyFill="1" applyBorder="1"/>
    <xf numFmtId="2" fontId="1" fillId="0" borderId="10" xfId="0" applyNumberFormat="1" applyFont="1" applyFill="1" applyBorder="1"/>
    <xf numFmtId="2" fontId="1" fillId="0" borderId="3" xfId="0" applyNumberFormat="1" applyFont="1" applyFill="1" applyBorder="1"/>
    <xf numFmtId="2" fontId="1" fillId="0" borderId="11" xfId="0" applyNumberFormat="1" applyFont="1" applyFill="1" applyBorder="1"/>
    <xf numFmtId="2" fontId="1" fillId="0" borderId="0" xfId="0" applyNumberFormat="1" applyFont="1" applyFill="1" applyBorder="1"/>
    <xf numFmtId="2" fontId="1" fillId="0" borderId="1" xfId="0" applyNumberFormat="1" applyFont="1" applyFill="1" applyBorder="1"/>
    <xf numFmtId="2" fontId="1" fillId="0" borderId="6" xfId="0" applyNumberFormat="1" applyFont="1" applyFill="1" applyBorder="1"/>
    <xf numFmtId="2" fontId="1" fillId="0" borderId="12" xfId="0" applyNumberFormat="1" applyFont="1" applyFill="1" applyBorder="1"/>
    <xf numFmtId="0" fontId="1" fillId="0" borderId="13" xfId="0" applyFont="1" applyFill="1" applyBorder="1"/>
    <xf numFmtId="2" fontId="2" fillId="0" borderId="14" xfId="0" applyNumberFormat="1" applyFont="1" applyFill="1" applyBorder="1"/>
    <xf numFmtId="2" fontId="2" fillId="0" borderId="15" xfId="0" applyNumberFormat="1" applyFont="1" applyFill="1" applyBorder="1"/>
    <xf numFmtId="0" fontId="1" fillId="0" borderId="16" xfId="0" applyFont="1" applyFill="1" applyBorder="1"/>
    <xf numFmtId="2" fontId="2" fillId="0" borderId="17" xfId="0" applyNumberFormat="1" applyFont="1" applyFill="1" applyBorder="1"/>
    <xf numFmtId="2" fontId="2" fillId="0" borderId="18" xfId="0" applyNumberFormat="1" applyFont="1" applyFill="1" applyBorder="1"/>
    <xf numFmtId="0" fontId="2" fillId="0" borderId="6" xfId="0" applyFont="1" applyFill="1" applyBorder="1"/>
    <xf numFmtId="2" fontId="2" fillId="0" borderId="8" xfId="0" applyNumberFormat="1" applyFont="1" applyFill="1" applyBorder="1"/>
    <xf numFmtId="0" fontId="2" fillId="0" borderId="4" xfId="0" applyFont="1" applyFill="1" applyBorder="1"/>
    <xf numFmtId="0" fontId="2" fillId="0" borderId="5" xfId="0" applyFont="1" applyFill="1" applyBorder="1" applyAlignment="1">
      <alignment horizontal="right"/>
    </xf>
    <xf numFmtId="2" fontId="1" fillId="0" borderId="11" xfId="1" applyNumberFormat="1" applyFont="1" applyFill="1" applyBorder="1"/>
    <xf numFmtId="0" fontId="1" fillId="0" borderId="19" xfId="0" applyFont="1" applyFill="1" applyBorder="1"/>
    <xf numFmtId="0" fontId="3" fillId="0" borderId="0" xfId="0" applyFont="1" applyFill="1" applyBorder="1"/>
    <xf numFmtId="2" fontId="2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2" fillId="0" borderId="19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2" fontId="1" fillId="0" borderId="8" xfId="0" applyNumberFormat="1" applyFont="1" applyFill="1" applyBorder="1"/>
    <xf numFmtId="0" fontId="1" fillId="0" borderId="20" xfId="0" applyFont="1" applyFill="1" applyBorder="1"/>
    <xf numFmtId="0" fontId="1" fillId="0" borderId="9" xfId="0" applyFont="1" applyFill="1" applyBorder="1"/>
    <xf numFmtId="2" fontId="2" fillId="0" borderId="0" xfId="0" applyNumberFormat="1" applyFont="1" applyFill="1" applyBorder="1"/>
    <xf numFmtId="2" fontId="1" fillId="0" borderId="20" xfId="0" applyNumberFormat="1" applyFont="1" applyFill="1" applyBorder="1"/>
    <xf numFmtId="0" fontId="1" fillId="0" borderId="21" xfId="0" applyFont="1" applyFill="1" applyBorder="1"/>
    <xf numFmtId="2" fontId="1" fillId="0" borderId="22" xfId="0" applyNumberFormat="1" applyFont="1" applyFill="1" applyBorder="1"/>
    <xf numFmtId="0" fontId="8" fillId="0" borderId="0" xfId="0" applyFont="1" applyFill="1" applyBorder="1"/>
    <xf numFmtId="2" fontId="2" fillId="0" borderId="7" xfId="0" applyNumberFormat="1" applyFont="1" applyFill="1" applyBorder="1" applyAlignment="1">
      <alignment horizontal="right"/>
    </xf>
    <xf numFmtId="0" fontId="2" fillId="0" borderId="12" xfId="0" applyFont="1" applyFill="1" applyBorder="1"/>
    <xf numFmtId="0" fontId="2" fillId="0" borderId="7" xfId="0" applyFont="1" applyFill="1" applyBorder="1"/>
    <xf numFmtId="0" fontId="2" fillId="0" borderId="8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left"/>
    </xf>
    <xf numFmtId="2" fontId="1" fillId="0" borderId="2" xfId="0" applyNumberFormat="1" applyFont="1" applyFill="1" applyBorder="1" applyAlignment="1">
      <alignment horizontal="right"/>
    </xf>
    <xf numFmtId="2" fontId="1" fillId="0" borderId="1" xfId="0" applyNumberFormat="1" applyFont="1" applyFill="1" applyBorder="1" applyAlignment="1">
      <alignment horizontal="right"/>
    </xf>
    <xf numFmtId="2" fontId="1" fillId="0" borderId="22" xfId="0" applyNumberFormat="1" applyFont="1" applyFill="1" applyBorder="1" applyAlignment="1">
      <alignment horizontal="right"/>
    </xf>
    <xf numFmtId="2" fontId="1" fillId="0" borderId="7" xfId="0" applyNumberFormat="1" applyFont="1" applyFill="1" applyBorder="1"/>
    <xf numFmtId="2" fontId="2" fillId="3" borderId="23" xfId="0" applyNumberFormat="1" applyFont="1" applyFill="1" applyBorder="1"/>
    <xf numFmtId="2" fontId="1" fillId="4" borderId="24" xfId="0" applyNumberFormat="1" applyFont="1" applyFill="1" applyBorder="1"/>
    <xf numFmtId="0" fontId="2" fillId="0" borderId="20" xfId="0" applyFont="1" applyFill="1" applyBorder="1"/>
    <xf numFmtId="2" fontId="2" fillId="0" borderId="12" xfId="0" applyNumberFormat="1" applyFont="1" applyFill="1" applyBorder="1" applyAlignment="1">
      <alignment horizontal="right"/>
    </xf>
    <xf numFmtId="2" fontId="2" fillId="0" borderId="7" xfId="0" applyNumberFormat="1" applyFont="1" applyFill="1" applyBorder="1"/>
    <xf numFmtId="0" fontId="2" fillId="0" borderId="21" xfId="0" applyFont="1" applyFill="1" applyBorder="1"/>
    <xf numFmtId="0" fontId="1" fillId="0" borderId="10" xfId="0" applyFont="1" applyFill="1" applyBorder="1"/>
    <xf numFmtId="0" fontId="3" fillId="0" borderId="3" xfId="0" applyFont="1" applyFill="1" applyBorder="1"/>
    <xf numFmtId="0" fontId="2" fillId="0" borderId="5" xfId="0" applyFont="1" applyFill="1" applyBorder="1"/>
    <xf numFmtId="2" fontId="2" fillId="0" borderId="5" xfId="0" applyNumberFormat="1" applyFont="1" applyFill="1" applyBorder="1"/>
    <xf numFmtId="2" fontId="2" fillId="0" borderId="11" xfId="0" applyNumberFormat="1" applyFont="1" applyFill="1" applyBorder="1"/>
    <xf numFmtId="2" fontId="1" fillId="0" borderId="11" xfId="0" applyNumberFormat="1" applyFont="1" applyFill="1" applyBorder="1" applyAlignment="1">
      <alignment horizontal="right"/>
    </xf>
    <xf numFmtId="0" fontId="2" fillId="0" borderId="10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left"/>
    </xf>
    <xf numFmtId="0" fontId="0" fillId="0" borderId="19" xfId="0" applyFill="1" applyBorder="1"/>
    <xf numFmtId="0" fontId="0" fillId="0" borderId="21" xfId="0" applyFill="1" applyBorder="1"/>
    <xf numFmtId="0" fontId="0" fillId="0" borderId="20" xfId="0" applyFill="1" applyBorder="1"/>
    <xf numFmtId="0" fontId="0" fillId="0" borderId="10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4" fontId="2" fillId="0" borderId="0" xfId="0" applyNumberFormat="1" applyFont="1" applyFill="1" applyBorder="1" applyAlignment="1">
      <alignment horizontal="left"/>
    </xf>
    <xf numFmtId="0" fontId="1" fillId="0" borderId="22" xfId="0" applyFont="1" applyFill="1" applyBorder="1" applyAlignment="1">
      <alignment horizontal="left"/>
    </xf>
    <xf numFmtId="0" fontId="1" fillId="0" borderId="11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left"/>
    </xf>
    <xf numFmtId="0" fontId="1" fillId="0" borderId="1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1" fontId="1" fillId="0" borderId="8" xfId="0" applyNumberFormat="1" applyFont="1" applyFill="1" applyBorder="1"/>
    <xf numFmtId="1" fontId="1" fillId="0" borderId="8" xfId="0" applyNumberFormat="1" applyFont="1" applyFill="1" applyBorder="1" applyAlignment="1">
      <alignment horizontal="right"/>
    </xf>
    <xf numFmtId="1" fontId="1" fillId="0" borderId="4" xfId="0" applyNumberFormat="1" applyFont="1" applyFill="1" applyBorder="1" applyAlignment="1">
      <alignment horizontal="right"/>
    </xf>
    <xf numFmtId="1" fontId="1" fillId="0" borderId="1" xfId="0" applyNumberFormat="1" applyFont="1" applyFill="1" applyBorder="1"/>
    <xf numFmtId="0" fontId="1" fillId="0" borderId="11" xfId="0" applyFont="1" applyFill="1" applyBorder="1"/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1" fillId="0" borderId="22" xfId="0" applyFont="1" applyFill="1" applyBorder="1"/>
    <xf numFmtId="0" fontId="2" fillId="0" borderId="11" xfId="0" applyFont="1" applyFill="1" applyBorder="1"/>
    <xf numFmtId="2" fontId="1" fillId="0" borderId="0" xfId="0" applyNumberFormat="1" applyFont="1" applyFill="1" applyBorder="1" applyAlignment="1">
      <alignment horizontal="center"/>
    </xf>
    <xf numFmtId="2" fontId="1" fillId="0" borderId="4" xfId="0" applyNumberFormat="1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2" fontId="1" fillId="0" borderId="5" xfId="0" applyNumberFormat="1" applyFont="1" applyFill="1" applyBorder="1" applyAlignment="1">
      <alignment horizontal="center"/>
    </xf>
    <xf numFmtId="0" fontId="2" fillId="0" borderId="10" xfId="0" applyFont="1" applyFill="1" applyBorder="1"/>
    <xf numFmtId="0" fontId="2" fillId="0" borderId="8" xfId="0" applyFont="1" applyFill="1" applyBorder="1"/>
    <xf numFmtId="0" fontId="1" fillId="0" borderId="4" xfId="0" applyFont="1" applyFill="1" applyBorder="1" applyAlignment="1">
      <alignment horizontal="left"/>
    </xf>
    <xf numFmtId="0" fontId="6" fillId="5" borderId="25" xfId="0" applyFont="1" applyFill="1" applyBorder="1"/>
    <xf numFmtId="0" fontId="1" fillId="5" borderId="25" xfId="0" applyFont="1" applyFill="1" applyBorder="1"/>
    <xf numFmtId="0" fontId="0" fillId="5" borderId="25" xfId="0" applyFill="1" applyBorder="1"/>
    <xf numFmtId="0" fontId="1" fillId="0" borderId="1" xfId="0" applyFont="1" applyFill="1" applyBorder="1" applyAlignment="1">
      <alignment horizontal="left" indent="5"/>
    </xf>
    <xf numFmtId="0" fontId="9" fillId="0" borderId="0" xfId="0" applyFont="1" applyFill="1" applyBorder="1"/>
    <xf numFmtId="0" fontId="10" fillId="0" borderId="0" xfId="0" applyFont="1" applyFill="1" applyBorder="1"/>
    <xf numFmtId="0" fontId="11" fillId="0" borderId="0" xfId="0" applyFont="1" applyFill="1" applyBorder="1"/>
    <xf numFmtId="0" fontId="2" fillId="0" borderId="1" xfId="0" applyFont="1" applyFill="1" applyBorder="1" applyAlignment="1">
      <alignment horizontal="left" indent="5"/>
    </xf>
    <xf numFmtId="0" fontId="2" fillId="0" borderId="4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indent="5"/>
    </xf>
    <xf numFmtId="0" fontId="2" fillId="6" borderId="26" xfId="0" applyFont="1" applyFill="1" applyBorder="1"/>
    <xf numFmtId="0" fontId="1" fillId="7" borderId="27" xfId="0" applyFont="1" applyFill="1" applyBorder="1"/>
    <xf numFmtId="0" fontId="1" fillId="8" borderId="28" xfId="0" applyFont="1" applyFill="1" applyBorder="1"/>
    <xf numFmtId="0" fontId="1" fillId="9" borderId="29" xfId="0" applyFont="1" applyFill="1" applyBorder="1"/>
    <xf numFmtId="0" fontId="1" fillId="10" borderId="30" xfId="0" applyFont="1" applyFill="1"/>
    <xf numFmtId="0" fontId="2" fillId="10" borderId="30" xfId="0" applyFont="1" applyFill="1"/>
    <xf numFmtId="0" fontId="1" fillId="11" borderId="31" xfId="0" applyFont="1" applyFill="1" applyBorder="1"/>
    <xf numFmtId="0" fontId="2" fillId="9" borderId="29" xfId="0" applyFont="1" applyFill="1" applyBorder="1"/>
    <xf numFmtId="0" fontId="2" fillId="11" borderId="31" xfId="0" applyFont="1" applyFill="1" applyBorder="1"/>
    <xf numFmtId="0" fontId="1" fillId="12" borderId="32" xfId="0" applyFont="1" applyFill="1" applyBorder="1"/>
    <xf numFmtId="0" fontId="1" fillId="13" borderId="33" xfId="0" applyFont="1" applyFill="1" applyBorder="1"/>
    <xf numFmtId="0" fontId="1" fillId="14" borderId="34" xfId="0" applyFont="1" applyFill="1" applyBorder="1"/>
    <xf numFmtId="2" fontId="1" fillId="0" borderId="9" xfId="0" applyNumberFormat="1" applyFont="1" applyFill="1" applyBorder="1" applyAlignment="1">
      <alignment horizontal="right"/>
    </xf>
    <xf numFmtId="0" fontId="2" fillId="0" borderId="21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top"/>
    </xf>
    <xf numFmtId="0" fontId="6" fillId="15" borderId="35" xfId="0" applyFont="1" applyFill="1" applyBorder="1"/>
    <xf numFmtId="0" fontId="6" fillId="16" borderId="36" xfId="0" applyFont="1" applyFill="1" applyBorder="1"/>
    <xf numFmtId="0" fontId="1" fillId="0" borderId="21" xfId="0" applyFont="1" applyFill="1" applyBorder="1" applyAlignment="1">
      <alignment horizontal="center"/>
    </xf>
    <xf numFmtId="0" fontId="2" fillId="15" borderId="35" xfId="0" applyFont="1" applyFill="1" applyBorder="1"/>
    <xf numFmtId="0" fontId="2" fillId="16" borderId="36" xfId="0" applyFont="1" applyFill="1" applyBorder="1"/>
    <xf numFmtId="0" fontId="2" fillId="0" borderId="1" xfId="0" applyFont="1" applyFill="1" applyBorder="1" applyAlignment="1">
      <alignment horizontal="center"/>
    </xf>
    <xf numFmtId="0" fontId="12" fillId="0" borderId="0" xfId="0" applyFont="1" applyFill="1" applyBorder="1"/>
    <xf numFmtId="2" fontId="2" fillId="17" borderId="37" xfId="0" applyNumberFormat="1" applyFont="1" applyFill="1" applyBorder="1"/>
    <xf numFmtId="9" fontId="1" fillId="0" borderId="6" xfId="0" applyNumberFormat="1" applyFont="1" applyFill="1" applyBorder="1" applyAlignment="1">
      <alignment horizontal="center"/>
    </xf>
    <xf numFmtId="2" fontId="2" fillId="0" borderId="4" xfId="0" applyNumberFormat="1" applyFont="1" applyFill="1" applyBorder="1"/>
    <xf numFmtId="0" fontId="6" fillId="18" borderId="38" xfId="0" applyFont="1" applyFill="1" applyBorder="1"/>
    <xf numFmtId="0" fontId="1" fillId="18" borderId="38" xfId="0" applyFont="1" applyFill="1" applyBorder="1"/>
    <xf numFmtId="0" fontId="1" fillId="0" borderId="0" xfId="0" applyFont="1" applyFill="1" applyBorder="1" applyAlignment="1">
      <alignment horizontal="left" vertical="justify"/>
    </xf>
    <xf numFmtId="0" fontId="4" fillId="0" borderId="0" xfId="0" applyFont="1" applyFill="1" applyBorder="1" applyAlignment="1">
      <alignment horizontal="center" vertical="justify"/>
    </xf>
    <xf numFmtId="0" fontId="2" fillId="0" borderId="12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left"/>
    </xf>
    <xf numFmtId="2" fontId="1" fillId="0" borderId="0" xfId="0" applyNumberFormat="1" applyFont="1" applyFill="1" applyBorder="1" applyAlignment="1">
      <alignment horizontal="left"/>
    </xf>
    <xf numFmtId="0" fontId="1" fillId="0" borderId="12" xfId="0" applyFont="1" applyFill="1" applyBorder="1" applyAlignment="1">
      <alignment horizontal="left"/>
    </xf>
    <xf numFmtId="2" fontId="1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justify" vertical="justify"/>
    </xf>
    <xf numFmtId="0" fontId="2" fillId="0" borderId="8" xfId="0" applyFont="1" applyFill="1" applyBorder="1" applyAlignment="1">
      <alignment horizontal="right"/>
    </xf>
    <xf numFmtId="0" fontId="2" fillId="0" borderId="0" xfId="0" quotePrefix="1" applyFont="1" applyFill="1" applyBorder="1" applyAlignment="1">
      <alignment horizontal="left"/>
    </xf>
    <xf numFmtId="0" fontId="1" fillId="10" borderId="30" xfId="0" quotePrefix="1" applyFont="1" applyFill="1"/>
    <xf numFmtId="0" fontId="1" fillId="13" borderId="33" xfId="0" quotePrefix="1" applyFont="1" applyFill="1" applyBorder="1"/>
    <xf numFmtId="164" fontId="1" fillId="0" borderId="0" xfId="0" applyNumberFormat="1" applyFont="1" applyFill="1" applyBorder="1" applyAlignment="1">
      <alignment horizontal="left"/>
    </xf>
    <xf numFmtId="164" fontId="2" fillId="0" borderId="0" xfId="0" applyNumberFormat="1" applyFont="1" applyFill="1" applyBorder="1" applyAlignment="1">
      <alignment horizontal="left"/>
    </xf>
    <xf numFmtId="22" fontId="2" fillId="0" borderId="0" xfId="0" applyNumberFormat="1" applyFont="1" applyFill="1" applyBorder="1" applyAlignment="1">
      <alignment horizontal="left"/>
    </xf>
    <xf numFmtId="17" fontId="1" fillId="0" borderId="0" xfId="0" applyNumberFormat="1" applyFont="1" applyFill="1" applyBorder="1"/>
    <xf numFmtId="43" fontId="1" fillId="0" borderId="0" xfId="0" applyNumberFormat="1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right"/>
    </xf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164" fontId="7" fillId="0" borderId="0" xfId="0" applyNumberFormat="1" applyFont="1" applyFill="1" applyBorder="1"/>
    <xf numFmtId="0" fontId="0" fillId="0" borderId="0" xfId="0" applyFill="1" applyBorder="1" applyAlignment="1">
      <alignment horizontal="right"/>
    </xf>
    <xf numFmtId="0" fontId="13" fillId="0" borderId="22" xfId="0" applyFont="1" applyFill="1" applyBorder="1" applyAlignment="1">
      <alignment horizontal="left"/>
    </xf>
    <xf numFmtId="0" fontId="13" fillId="0" borderId="9" xfId="0" applyFont="1" applyFill="1" applyBorder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/>
    <xf numFmtId="0" fontId="1" fillId="0" borderId="30" xfId="0" applyFont="1" applyFill="1" applyAlignment="1">
      <alignment horizontal="justify" vertical="justify"/>
    </xf>
    <xf numFmtId="0" fontId="1" fillId="0" borderId="0" xfId="0" applyFont="1" applyFill="1" applyBorder="1"/>
    <xf numFmtId="0" fontId="2" fillId="0" borderId="37" xfId="0" applyFont="1" applyFill="1" applyBorder="1" applyAlignment="1">
      <alignment horizontal="center"/>
    </xf>
    <xf numFmtId="0" fontId="0" fillId="0" borderId="38" xfId="0" applyFill="1" applyBorder="1"/>
    <xf numFmtId="0" fontId="1" fillId="0" borderId="30" xfId="0" applyFont="1" applyFill="1" applyAlignment="1">
      <alignment horizontal="left" vertical="top" wrapText="1"/>
    </xf>
    <xf numFmtId="0" fontId="2" fillId="0" borderId="37" xfId="0" applyFont="1" applyFill="1" applyBorder="1" applyAlignment="1">
      <alignment horizontal="justify" vertical="justify"/>
    </xf>
    <xf numFmtId="0" fontId="0" fillId="0" borderId="10" xfId="0" applyFill="1" applyBorder="1"/>
    <xf numFmtId="0" fontId="0" fillId="0" borderId="3" xfId="0" applyFill="1" applyBorder="1"/>
    <xf numFmtId="0" fontId="0" fillId="0" borderId="5" xfId="0" applyFill="1" applyBorder="1"/>
    <xf numFmtId="0" fontId="1" fillId="0" borderId="37" xfId="0" applyFont="1" applyFill="1" applyBorder="1" applyAlignment="1">
      <alignment horizontal="left"/>
    </xf>
    <xf numFmtId="0" fontId="1" fillId="0" borderId="37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left"/>
    </xf>
    <xf numFmtId="0" fontId="1" fillId="0" borderId="11" xfId="0" applyFont="1" applyFill="1" applyBorder="1" applyAlignment="1">
      <alignment horizontal="center"/>
    </xf>
    <xf numFmtId="0" fontId="7" fillId="0" borderId="30" xfId="0" applyFont="1" applyFill="1" applyAlignment="1">
      <alignment horizontal="justify" vertical="justify"/>
    </xf>
    <xf numFmtId="0" fontId="0" fillId="0" borderId="0" xfId="0" applyFill="1" applyBorder="1"/>
    <xf numFmtId="0" fontId="1" fillId="0" borderId="30" xfId="0" applyFont="1" applyFill="1" applyAlignment="1">
      <alignment horizontal="left"/>
    </xf>
    <xf numFmtId="0" fontId="2" fillId="0" borderId="30" xfId="0" applyFont="1" applyFill="1" applyAlignment="1">
      <alignment horizontal="left" vertical="justify"/>
    </xf>
    <xf numFmtId="0" fontId="0" fillId="2" borderId="30" xfId="0"/>
    <xf numFmtId="11" fontId="0" fillId="2" borderId="30" xfId="0" applyNumberFormat="1"/>
    <xf numFmtId="0" fontId="16" fillId="2" borderId="30" xfId="0" applyFont="1"/>
    <xf numFmtId="14" fontId="0" fillId="2" borderId="30" xfId="0" applyNumberFormat="1"/>
    <xf numFmtId="0" fontId="15" fillId="2" borderId="30" xfId="2"/>
    <xf numFmtId="20" fontId="0" fillId="2" borderId="30" xfId="0" applyNumberFormat="1"/>
    <xf numFmtId="49" fontId="0" fillId="2" borderId="30" xfId="0" applyNumberFormat="1"/>
    <xf numFmtId="0" fontId="17" fillId="2" borderId="39" xfId="0" applyFont="1" applyBorder="1" applyAlignment="1">
      <alignment vertical="center" wrapText="1" readingOrder="1"/>
    </xf>
    <xf numFmtId="0" fontId="18" fillId="2" borderId="39" xfId="0" applyFont="1" applyBorder="1" applyAlignment="1">
      <alignment vertical="center" wrapText="1" readingOrder="1"/>
    </xf>
    <xf numFmtId="4" fontId="17" fillId="2" borderId="39" xfId="0" applyNumberFormat="1" applyFont="1" applyBorder="1" applyAlignment="1">
      <alignment vertical="center" wrapText="1" readingOrder="1"/>
    </xf>
    <xf numFmtId="14" fontId="17" fillId="2" borderId="39" xfId="0" applyNumberFormat="1" applyFont="1" applyBorder="1" applyAlignment="1">
      <alignment vertical="center" wrapText="1" readingOrder="1"/>
    </xf>
    <xf numFmtId="20" fontId="17" fillId="2" borderId="39" xfId="0" applyNumberFormat="1" applyFont="1" applyBorder="1" applyAlignment="1">
      <alignment vertical="center" wrapText="1" readingOrder="1"/>
    </xf>
    <xf numFmtId="0" fontId="1" fillId="2" borderId="3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W403"/>
  <sheetViews>
    <sheetView tabSelected="1" topLeftCell="D267" zoomScale="79" zoomScaleNormal="71" workbookViewId="0">
      <selection activeCell="D280" sqref="D280:F403"/>
    </sheetView>
  </sheetViews>
  <sheetFormatPr defaultRowHeight="13.2" x14ac:dyDescent="0.25"/>
  <cols>
    <col min="1" max="1" width="5" style="1" customWidth="1"/>
    <col min="2" max="2" width="6" style="1" customWidth="1"/>
    <col min="3" max="3" width="14.85546875" style="1" customWidth="1"/>
    <col min="4" max="4" width="9.28515625" style="1" customWidth="1"/>
    <col min="5" max="5" width="9.85546875" style="1" customWidth="1"/>
    <col min="6" max="9" width="11.85546875" style="1" customWidth="1"/>
    <col min="10" max="10" width="22.42578125" style="1" customWidth="1"/>
    <col min="11" max="11" width="14.85546875" style="1" customWidth="1"/>
    <col min="12" max="12" width="9.42578125" style="1" customWidth="1"/>
    <col min="13" max="13" width="19.28515625" style="1" customWidth="1"/>
    <col min="14" max="14" width="19" style="1" customWidth="1"/>
    <col min="15" max="15" width="11.28515625" style="1" customWidth="1"/>
    <col min="16" max="16" width="11.42578125" style="1" customWidth="1"/>
    <col min="17" max="17" width="11.140625" style="1" customWidth="1"/>
    <col min="18" max="18" width="11.42578125" style="1" customWidth="1"/>
    <col min="19" max="19" width="11.28515625" style="1" customWidth="1"/>
    <col min="20" max="20" width="11.140625" style="1" customWidth="1"/>
    <col min="21" max="257" width="9.28515625" style="1" customWidth="1"/>
  </cols>
  <sheetData>
    <row r="2" spans="1:14" ht="13.8" x14ac:dyDescent="0.25">
      <c r="B2" s="45" t="s">
        <v>0</v>
      </c>
      <c r="I2" s="1" t="s">
        <v>1</v>
      </c>
    </row>
    <row r="3" spans="1:14" x14ac:dyDescent="0.25">
      <c r="B3" s="1" t="s">
        <v>2</v>
      </c>
      <c r="C3" s="3"/>
      <c r="I3" s="1" t="s">
        <v>3</v>
      </c>
    </row>
    <row r="4" spans="1:14" x14ac:dyDescent="0.25">
      <c r="B4" s="1" t="s">
        <v>4</v>
      </c>
      <c r="H4" s="3"/>
      <c r="I4" s="1" t="s">
        <v>5</v>
      </c>
    </row>
    <row r="5" spans="1:14" x14ac:dyDescent="0.25">
      <c r="B5" s="6" t="s">
        <v>6</v>
      </c>
      <c r="C5" s="6"/>
      <c r="D5" s="6"/>
      <c r="E5" s="6"/>
      <c r="F5" s="6"/>
      <c r="G5" s="6"/>
      <c r="H5" s="6"/>
      <c r="I5" s="6" t="s">
        <v>7</v>
      </c>
      <c r="J5" s="6"/>
      <c r="K5" s="6"/>
    </row>
    <row r="6" spans="1:14" ht="3" customHeight="1" x14ac:dyDescent="0.25">
      <c r="B6" s="44"/>
      <c r="C6" s="44"/>
      <c r="D6" s="44"/>
      <c r="E6" s="44"/>
      <c r="F6" s="44"/>
      <c r="G6" s="44"/>
      <c r="H6" s="44"/>
      <c r="I6" s="44"/>
      <c r="J6" s="44"/>
      <c r="K6" s="44"/>
    </row>
    <row r="7" spans="1:14" ht="4.5" customHeight="1" x14ac:dyDescent="0.25"/>
    <row r="8" spans="1:14" x14ac:dyDescent="0.25">
      <c r="B8" s="3" t="s">
        <v>8</v>
      </c>
      <c r="C8" s="1" t="s">
        <v>9</v>
      </c>
      <c r="D8" s="12"/>
      <c r="J8" s="8" t="s">
        <v>10</v>
      </c>
      <c r="K8" s="173"/>
    </row>
    <row r="9" spans="1:14" ht="4.5" customHeight="1" x14ac:dyDescent="0.25">
      <c r="B9" s="3"/>
      <c r="J9" s="8"/>
      <c r="K9" s="174"/>
    </row>
    <row r="10" spans="1:14" x14ac:dyDescent="0.25">
      <c r="B10" s="9" t="s">
        <v>11</v>
      </c>
    </row>
    <row r="11" spans="1:14" ht="26.25" customHeight="1" x14ac:dyDescent="0.25">
      <c r="B11" s="187" t="s">
        <v>12</v>
      </c>
      <c r="C11" s="188"/>
      <c r="D11" s="188"/>
      <c r="E11" s="188"/>
      <c r="F11" s="188"/>
      <c r="G11" s="188"/>
      <c r="H11" s="188"/>
      <c r="I11" s="188"/>
      <c r="J11" s="188"/>
      <c r="K11" s="188"/>
    </row>
    <row r="12" spans="1:14" ht="12.75" customHeight="1" x14ac:dyDescent="0.25">
      <c r="B12" s="12">
        <v>1</v>
      </c>
    </row>
    <row r="13" spans="1:14" x14ac:dyDescent="0.25">
      <c r="B13" s="175" t="s">
        <v>13</v>
      </c>
      <c r="C13" s="3" t="s">
        <v>14</v>
      </c>
      <c r="E13" s="11"/>
      <c r="F13" s="10" t="s">
        <v>15</v>
      </c>
      <c r="G13" s="1" t="s">
        <v>16</v>
      </c>
      <c r="J13" s="8" t="s">
        <v>17</v>
      </c>
      <c r="K13" s="96" t="s">
        <v>16</v>
      </c>
    </row>
    <row r="14" spans="1:14" x14ac:dyDescent="0.25">
      <c r="A14" s="9"/>
      <c r="C14" s="1" t="s">
        <v>18</v>
      </c>
      <c r="E14" s="11"/>
      <c r="F14" s="10" t="s">
        <v>15</v>
      </c>
    </row>
    <row r="15" spans="1:14" x14ac:dyDescent="0.25">
      <c r="E15" s="11"/>
      <c r="F15" s="11"/>
    </row>
    <row r="16" spans="1:14" x14ac:dyDescent="0.25">
      <c r="B16" s="1" t="s">
        <v>19</v>
      </c>
      <c r="C16" s="1" t="s">
        <v>20</v>
      </c>
      <c r="E16" s="11"/>
      <c r="F16" s="10" t="s">
        <v>15</v>
      </c>
      <c r="G16" s="170" t="s">
        <v>16</v>
      </c>
      <c r="J16" s="8" t="s">
        <v>21</v>
      </c>
      <c r="K16" s="1" t="s">
        <v>16</v>
      </c>
      <c r="M16" t="s">
        <v>331</v>
      </c>
      <c r="N16" s="10" t="s">
        <v>332</v>
      </c>
    </row>
    <row r="17" spans="1:13" ht="12.75" customHeight="1" x14ac:dyDescent="0.25"/>
    <row r="18" spans="1:13" x14ac:dyDescent="0.25">
      <c r="B18" s="10" t="s">
        <v>22</v>
      </c>
      <c r="C18" s="3" t="s">
        <v>23</v>
      </c>
      <c r="E18" s="11"/>
      <c r="F18" s="10" t="s">
        <v>15</v>
      </c>
      <c r="G18" s="1" t="s">
        <v>16</v>
      </c>
    </row>
    <row r="19" spans="1:13" x14ac:dyDescent="0.25">
      <c r="A19" s="10"/>
      <c r="C19" s="1" t="s">
        <v>24</v>
      </c>
      <c r="E19" s="11"/>
      <c r="F19" s="10" t="s">
        <v>15</v>
      </c>
      <c r="G19" s="176" t="s">
        <v>330</v>
      </c>
    </row>
    <row r="20" spans="1:13" x14ac:dyDescent="0.25">
      <c r="A20" s="10"/>
      <c r="C20" s="1" t="s">
        <v>25</v>
      </c>
      <c r="E20" s="11"/>
      <c r="F20" s="10" t="s">
        <v>15</v>
      </c>
      <c r="G20" s="176" t="s">
        <v>16</v>
      </c>
    </row>
    <row r="21" spans="1:13" ht="12.75" customHeight="1" x14ac:dyDescent="0.25">
      <c r="A21" s="10"/>
      <c r="B21" s="3"/>
    </row>
    <row r="22" spans="1:13" x14ac:dyDescent="0.25">
      <c r="B22" s="10" t="s">
        <v>26</v>
      </c>
      <c r="C22" s="3" t="s">
        <v>27</v>
      </c>
      <c r="E22" s="11"/>
      <c r="F22" s="10" t="s">
        <v>15</v>
      </c>
      <c r="G22" s="1" t="s">
        <v>28</v>
      </c>
    </row>
    <row r="23" spans="1:13" ht="12.75" customHeight="1" x14ac:dyDescent="0.25">
      <c r="A23" s="10"/>
      <c r="B23" s="3"/>
    </row>
    <row r="24" spans="1:13" x14ac:dyDescent="0.25">
      <c r="B24" s="10">
        <v>2</v>
      </c>
      <c r="C24" s="3" t="s">
        <v>29</v>
      </c>
      <c r="E24" s="11"/>
      <c r="F24" s="10" t="s">
        <v>15</v>
      </c>
      <c r="G24" s="3" t="s">
        <v>30</v>
      </c>
    </row>
    <row r="25" spans="1:13" x14ac:dyDescent="0.25">
      <c r="B25" s="1" t="s">
        <v>13</v>
      </c>
      <c r="C25" s="1" t="s">
        <v>31</v>
      </c>
      <c r="E25" s="11"/>
      <c r="F25" s="10" t="s">
        <v>15</v>
      </c>
      <c r="G25" s="3" t="s">
        <v>32</v>
      </c>
      <c r="I25" s="3"/>
    </row>
    <row r="26" spans="1:13" x14ac:dyDescent="0.25">
      <c r="B26" s="1" t="s">
        <v>19</v>
      </c>
      <c r="C26" s="1" t="s">
        <v>33</v>
      </c>
      <c r="E26" s="11"/>
      <c r="F26" s="10" t="s">
        <v>15</v>
      </c>
      <c r="G26" s="12" t="s">
        <v>34</v>
      </c>
    </row>
    <row r="27" spans="1:13" x14ac:dyDescent="0.25">
      <c r="B27" s="1" t="s">
        <v>22</v>
      </c>
      <c r="C27" s="1" t="s">
        <v>35</v>
      </c>
      <c r="E27" s="11"/>
      <c r="F27" s="10" t="s">
        <v>15</v>
      </c>
      <c r="G27" s="12" t="s">
        <v>36</v>
      </c>
    </row>
    <row r="28" spans="1:13" x14ac:dyDescent="0.25">
      <c r="C28" s="17"/>
      <c r="D28" s="18"/>
      <c r="E28" s="101"/>
      <c r="F28" s="102"/>
      <c r="G28" s="196" t="s">
        <v>37</v>
      </c>
      <c r="H28" s="190"/>
      <c r="I28" s="197" t="s">
        <v>38</v>
      </c>
      <c r="J28" s="190"/>
      <c r="K28" s="103" t="s">
        <v>39</v>
      </c>
    </row>
    <row r="29" spans="1:13" x14ac:dyDescent="0.25">
      <c r="B29" s="1" t="s">
        <v>26</v>
      </c>
      <c r="C29" s="2" t="s">
        <v>40</v>
      </c>
      <c r="E29" s="11"/>
      <c r="F29" s="10" t="s">
        <v>15</v>
      </c>
      <c r="G29" s="198" t="s">
        <v>41</v>
      </c>
      <c r="H29" s="193"/>
      <c r="I29" s="197" t="str">
        <f>G29</f>
        <v>S00546022</v>
      </c>
      <c r="J29" s="190"/>
      <c r="K29" s="103" t="str">
        <f>G29</f>
        <v>S00546022</v>
      </c>
    </row>
    <row r="30" spans="1:13" x14ac:dyDescent="0.25">
      <c r="B30" s="1" t="s">
        <v>42</v>
      </c>
      <c r="C30" s="5" t="s">
        <v>43</v>
      </c>
      <c r="D30" s="6"/>
      <c r="E30" s="99"/>
      <c r="F30" s="100" t="s">
        <v>15</v>
      </c>
      <c r="G30" s="196" t="s">
        <v>44</v>
      </c>
      <c r="H30" s="190"/>
      <c r="I30" s="199" t="str">
        <f>G30</f>
        <v>N8272201</v>
      </c>
      <c r="J30" s="195"/>
      <c r="K30" s="105" t="str">
        <f>G30</f>
        <v>N8272201</v>
      </c>
    </row>
    <row r="31" spans="1:13" x14ac:dyDescent="0.25">
      <c r="B31" s="1" t="s">
        <v>45</v>
      </c>
      <c r="C31" s="1" t="s">
        <v>46</v>
      </c>
      <c r="E31" s="3"/>
      <c r="F31" s="10" t="s">
        <v>15</v>
      </c>
      <c r="G31" s="3" t="s">
        <v>47</v>
      </c>
    </row>
    <row r="32" spans="1:13" x14ac:dyDescent="0.25">
      <c r="B32" s="1" t="s">
        <v>48</v>
      </c>
      <c r="C32" s="1" t="s">
        <v>49</v>
      </c>
      <c r="E32" s="11"/>
      <c r="F32" s="10" t="s">
        <v>15</v>
      </c>
      <c r="G32" s="1" t="s">
        <v>50</v>
      </c>
      <c r="M32" s="12"/>
    </row>
    <row r="33" spans="2:16" x14ac:dyDescent="0.25">
      <c r="B33" s="1" t="s">
        <v>51</v>
      </c>
      <c r="C33" s="1" t="s">
        <v>52</v>
      </c>
      <c r="E33" s="11"/>
      <c r="F33" s="10" t="s">
        <v>15</v>
      </c>
      <c r="G33" s="1" t="s">
        <v>53</v>
      </c>
    </row>
    <row r="34" spans="2:16" x14ac:dyDescent="0.25">
      <c r="B34" s="1" t="s">
        <v>54</v>
      </c>
      <c r="C34" s="1" t="s">
        <v>55</v>
      </c>
      <c r="E34" s="11"/>
      <c r="F34" s="10" t="s">
        <v>15</v>
      </c>
      <c r="G34" s="1" t="s">
        <v>56</v>
      </c>
    </row>
    <row r="35" spans="2:16" x14ac:dyDescent="0.25">
      <c r="B35" s="1" t="s">
        <v>57</v>
      </c>
      <c r="C35" s="1" t="s">
        <v>58</v>
      </c>
      <c r="E35" s="11"/>
      <c r="F35" s="10" t="s">
        <v>15</v>
      </c>
      <c r="G35" s="12">
        <v>990</v>
      </c>
    </row>
    <row r="36" spans="2:16" x14ac:dyDescent="0.25">
      <c r="B36" s="1" t="s">
        <v>59</v>
      </c>
      <c r="C36" s="1" t="s">
        <v>60</v>
      </c>
      <c r="E36" s="11"/>
      <c r="F36" s="10" t="s">
        <v>15</v>
      </c>
      <c r="G36" s="12">
        <v>9800</v>
      </c>
    </row>
    <row r="37" spans="2:16" x14ac:dyDescent="0.25">
      <c r="B37" s="1" t="s">
        <v>61</v>
      </c>
      <c r="C37" s="1" t="s">
        <v>62</v>
      </c>
      <c r="E37" s="11"/>
      <c r="F37" s="10" t="s">
        <v>15</v>
      </c>
      <c r="G37" s="1" t="s">
        <v>36</v>
      </c>
    </row>
    <row r="38" spans="2:16" x14ac:dyDescent="0.25">
      <c r="C38" s="1" t="s">
        <v>63</v>
      </c>
      <c r="E38" s="11"/>
      <c r="F38" s="10" t="s">
        <v>15</v>
      </c>
      <c r="G38" s="1" t="s">
        <v>16</v>
      </c>
    </row>
    <row r="39" spans="2:16" x14ac:dyDescent="0.25">
      <c r="C39" s="1" t="s">
        <v>64</v>
      </c>
      <c r="E39" s="11"/>
      <c r="F39" s="10" t="s">
        <v>15</v>
      </c>
      <c r="G39" s="1" t="s">
        <v>16</v>
      </c>
    </row>
    <row r="40" spans="2:16" x14ac:dyDescent="0.25">
      <c r="C40" s="1" t="s">
        <v>65</v>
      </c>
      <c r="E40" s="11"/>
      <c r="F40" s="10" t="s">
        <v>15</v>
      </c>
      <c r="G40" s="1" t="s">
        <v>16</v>
      </c>
    </row>
    <row r="41" spans="2:16" x14ac:dyDescent="0.25">
      <c r="C41" s="1" t="s">
        <v>66</v>
      </c>
      <c r="E41" s="11"/>
      <c r="F41" s="10" t="s">
        <v>15</v>
      </c>
      <c r="G41" s="1" t="s">
        <v>16</v>
      </c>
    </row>
    <row r="42" spans="2:16" x14ac:dyDescent="0.25">
      <c r="B42" s="1" t="s">
        <v>67</v>
      </c>
      <c r="C42" s="1" t="s">
        <v>68</v>
      </c>
      <c r="E42" s="11"/>
      <c r="F42" s="10" t="s">
        <v>15</v>
      </c>
      <c r="G42" s="12">
        <v>5</v>
      </c>
      <c r="P42" s="3"/>
    </row>
    <row r="43" spans="2:16" x14ac:dyDescent="0.25">
      <c r="B43" s="1" t="s">
        <v>69</v>
      </c>
      <c r="C43" s="1" t="s">
        <v>70</v>
      </c>
      <c r="E43" s="11"/>
      <c r="F43" s="10" t="s">
        <v>15</v>
      </c>
      <c r="G43" s="1" t="s">
        <v>71</v>
      </c>
      <c r="J43" s="78" t="s">
        <v>72</v>
      </c>
      <c r="K43" s="86"/>
      <c r="P43" s="3"/>
    </row>
    <row r="44" spans="2:16" x14ac:dyDescent="0.25">
      <c r="B44" s="1" t="s">
        <v>73</v>
      </c>
      <c r="C44" s="1" t="s">
        <v>74</v>
      </c>
      <c r="E44" s="11"/>
      <c r="F44" s="10" t="s">
        <v>15</v>
      </c>
      <c r="G44" s="1" t="s">
        <v>320</v>
      </c>
      <c r="J44" s="21" t="s">
        <v>75</v>
      </c>
      <c r="K44" s="7" t="s">
        <v>76</v>
      </c>
      <c r="P44" s="3"/>
    </row>
    <row r="45" spans="2:16" ht="12.75" customHeight="1" x14ac:dyDescent="0.25">
      <c r="B45" s="1" t="s">
        <v>77</v>
      </c>
      <c r="C45" s="1" t="s">
        <v>78</v>
      </c>
      <c r="E45" s="14"/>
      <c r="F45" s="14"/>
      <c r="G45" s="12">
        <v>998</v>
      </c>
    </row>
    <row r="46" spans="2:16" x14ac:dyDescent="0.25">
      <c r="B46" s="10">
        <v>3</v>
      </c>
      <c r="C46" s="3" t="s">
        <v>79</v>
      </c>
      <c r="E46" s="11"/>
      <c r="F46" s="10" t="s">
        <v>15</v>
      </c>
      <c r="G46" s="3" t="s">
        <v>80</v>
      </c>
    </row>
    <row r="47" spans="2:16" x14ac:dyDescent="0.25">
      <c r="B47" s="1" t="s">
        <v>13</v>
      </c>
      <c r="C47" s="1" t="s">
        <v>81</v>
      </c>
      <c r="E47" s="11"/>
      <c r="F47" s="10" t="s">
        <v>15</v>
      </c>
      <c r="G47" s="1" t="s">
        <v>82</v>
      </c>
      <c r="J47" s="8" t="s">
        <v>83</v>
      </c>
      <c r="K47" s="1" t="s">
        <v>84</v>
      </c>
    </row>
    <row r="48" spans="2:16" x14ac:dyDescent="0.25">
      <c r="C48" s="1" t="s">
        <v>85</v>
      </c>
      <c r="E48" s="11"/>
      <c r="F48" s="10" t="s">
        <v>15</v>
      </c>
      <c r="G48" s="176" t="s">
        <v>86</v>
      </c>
      <c r="J48" s="8"/>
    </row>
    <row r="49" spans="2:15" x14ac:dyDescent="0.25">
      <c r="B49" s="1" t="s">
        <v>87</v>
      </c>
      <c r="C49" s="1" t="s">
        <v>88</v>
      </c>
      <c r="E49" s="11"/>
      <c r="F49" s="10" t="s">
        <v>15</v>
      </c>
      <c r="G49" s="12" t="s">
        <v>89</v>
      </c>
      <c r="J49" s="8" t="s">
        <v>87</v>
      </c>
      <c r="K49" s="1" t="s">
        <v>87</v>
      </c>
    </row>
    <row r="50" spans="2:15" x14ac:dyDescent="0.25">
      <c r="B50" s="1" t="s">
        <v>19</v>
      </c>
      <c r="C50" s="3" t="s">
        <v>90</v>
      </c>
      <c r="E50" s="11"/>
      <c r="F50" s="10" t="s">
        <v>15</v>
      </c>
      <c r="G50" s="10" t="s">
        <v>91</v>
      </c>
      <c r="I50" t="s">
        <v>92</v>
      </c>
      <c r="J50" s="3"/>
    </row>
    <row r="51" spans="2:15" x14ac:dyDescent="0.25">
      <c r="B51" s="1" t="s">
        <v>22</v>
      </c>
      <c r="C51" s="1" t="s">
        <v>93</v>
      </c>
      <c r="E51" s="11"/>
      <c r="F51" s="10" t="s">
        <v>15</v>
      </c>
      <c r="G51" s="1" t="s">
        <v>94</v>
      </c>
    </row>
    <row r="52" spans="2:15" x14ac:dyDescent="0.25">
      <c r="B52" s="1" t="s">
        <v>26</v>
      </c>
      <c r="C52" s="1" t="s">
        <v>95</v>
      </c>
      <c r="E52" s="11"/>
      <c r="F52" s="10" t="s">
        <v>15</v>
      </c>
      <c r="G52" s="176" t="s">
        <v>94</v>
      </c>
    </row>
    <row r="53" spans="2:15" x14ac:dyDescent="0.25">
      <c r="B53" s="1" t="s">
        <v>42</v>
      </c>
      <c r="C53" s="1" t="s">
        <v>96</v>
      </c>
      <c r="E53" s="11"/>
      <c r="F53" s="10" t="s">
        <v>15</v>
      </c>
      <c r="G53" s="12" t="s">
        <v>97</v>
      </c>
    </row>
    <row r="54" spans="2:15" x14ac:dyDescent="0.25">
      <c r="B54" s="1" t="s">
        <v>45</v>
      </c>
      <c r="C54" s="1" t="s">
        <v>98</v>
      </c>
      <c r="E54" s="11"/>
      <c r="F54" s="10" t="s">
        <v>15</v>
      </c>
      <c r="G54" s="1" t="s">
        <v>99</v>
      </c>
    </row>
    <row r="55" spans="2:15" ht="12.75" customHeight="1" x14ac:dyDescent="0.25">
      <c r="E55" s="14"/>
      <c r="F55" s="12"/>
      <c r="N55" s="1" t="s">
        <v>325</v>
      </c>
      <c r="O55" s="1">
        <v>50000</v>
      </c>
    </row>
    <row r="56" spans="2:15" x14ac:dyDescent="0.25">
      <c r="B56" s="10">
        <v>4</v>
      </c>
      <c r="C56" s="3" t="s">
        <v>100</v>
      </c>
      <c r="E56" s="14"/>
      <c r="F56" s="14"/>
      <c r="N56" s="1" t="s">
        <v>323</v>
      </c>
      <c r="O56" s="185" t="s">
        <v>324</v>
      </c>
    </row>
    <row r="57" spans="2:15" x14ac:dyDescent="0.25">
      <c r="B57" s="1" t="s">
        <v>13</v>
      </c>
      <c r="C57" s="1" t="s">
        <v>101</v>
      </c>
      <c r="E57" s="11"/>
      <c r="F57" s="10" t="s">
        <v>15</v>
      </c>
      <c r="G57" s="173" t="s">
        <v>16</v>
      </c>
      <c r="N57" s="3"/>
    </row>
    <row r="58" spans="2:15" x14ac:dyDescent="0.25">
      <c r="B58" s="1" t="s">
        <v>19</v>
      </c>
      <c r="C58" s="1" t="s">
        <v>102</v>
      </c>
      <c r="E58" s="11"/>
      <c r="F58" s="10" t="s">
        <v>15</v>
      </c>
      <c r="G58" s="1" t="s">
        <v>16</v>
      </c>
    </row>
    <row r="59" spans="2:15" ht="12.75" customHeight="1" x14ac:dyDescent="0.25">
      <c r="F59" s="10"/>
    </row>
    <row r="60" spans="2:15" x14ac:dyDescent="0.25">
      <c r="B60" s="10">
        <v>5</v>
      </c>
      <c r="C60" s="3" t="s">
        <v>103</v>
      </c>
      <c r="E60" s="14"/>
      <c r="F60" s="14"/>
    </row>
    <row r="61" spans="2:15" x14ac:dyDescent="0.25">
      <c r="C61" s="1" t="s">
        <v>104</v>
      </c>
      <c r="E61" s="11"/>
      <c r="F61" s="10" t="s">
        <v>15</v>
      </c>
      <c r="G61" s="1" t="s">
        <v>16</v>
      </c>
      <c r="H61" s="3"/>
    </row>
    <row r="62" spans="2:15" x14ac:dyDescent="0.25">
      <c r="C62" s="1" t="s">
        <v>105</v>
      </c>
      <c r="E62" s="11"/>
      <c r="F62" s="10" t="s">
        <v>15</v>
      </c>
      <c r="G62" s="1" t="s">
        <v>321</v>
      </c>
      <c r="H62" s="1" t="s">
        <v>322</v>
      </c>
    </row>
    <row r="63" spans="2:15" x14ac:dyDescent="0.25">
      <c r="C63" s="1" t="s">
        <v>106</v>
      </c>
      <c r="E63" s="14"/>
      <c r="F63" s="10" t="s">
        <v>15</v>
      </c>
      <c r="G63" s="1" t="s">
        <v>107</v>
      </c>
    </row>
    <row r="64" spans="2:15" x14ac:dyDescent="0.25">
      <c r="C64" s="1" t="s">
        <v>108</v>
      </c>
      <c r="E64" s="11"/>
      <c r="F64" s="10" t="s">
        <v>15</v>
      </c>
      <c r="G64" s="1" t="s">
        <v>109</v>
      </c>
    </row>
    <row r="65" spans="2:11" x14ac:dyDescent="0.25">
      <c r="E65" s="11"/>
      <c r="F65" s="10"/>
    </row>
    <row r="66" spans="2:11" x14ac:dyDescent="0.25">
      <c r="E66" s="11"/>
      <c r="F66" s="10"/>
    </row>
    <row r="67" spans="2:11" x14ac:dyDescent="0.25">
      <c r="B67" s="10">
        <v>6</v>
      </c>
      <c r="C67" s="3" t="s">
        <v>110</v>
      </c>
      <c r="E67" s="3"/>
      <c r="F67" s="10"/>
    </row>
    <row r="68" spans="2:11" x14ac:dyDescent="0.25">
      <c r="B68" s="10"/>
      <c r="C68" s="1" t="s">
        <v>111</v>
      </c>
      <c r="E68" s="3"/>
      <c r="F68" s="10" t="s">
        <v>15</v>
      </c>
      <c r="G68" s="1" t="s">
        <v>112</v>
      </c>
    </row>
    <row r="69" spans="2:11" x14ac:dyDescent="0.25">
      <c r="B69" s="10"/>
      <c r="C69" s="1" t="s">
        <v>85</v>
      </c>
      <c r="E69" s="3"/>
      <c r="F69" s="10" t="s">
        <v>15</v>
      </c>
      <c r="G69" s="1" t="s">
        <v>113</v>
      </c>
    </row>
    <row r="70" spans="2:11" x14ac:dyDescent="0.25">
      <c r="B70" s="10"/>
      <c r="C70" s="1" t="s">
        <v>114</v>
      </c>
      <c r="E70" s="3"/>
      <c r="F70" s="10" t="s">
        <v>15</v>
      </c>
      <c r="G70" s="1" t="s">
        <v>115</v>
      </c>
    </row>
    <row r="72" spans="2:11" x14ac:dyDescent="0.25">
      <c r="B72" s="10">
        <v>7</v>
      </c>
      <c r="C72" s="3" t="s">
        <v>116</v>
      </c>
      <c r="E72" s="11"/>
      <c r="F72" s="10" t="s">
        <v>15</v>
      </c>
      <c r="G72" s="1" t="s">
        <v>117</v>
      </c>
    </row>
    <row r="73" spans="2:11" x14ac:dyDescent="0.25">
      <c r="B73" s="10"/>
      <c r="C73" s="3"/>
      <c r="E73" s="3"/>
      <c r="F73" s="10"/>
    </row>
    <row r="74" spans="2:11" x14ac:dyDescent="0.25">
      <c r="B74" s="10">
        <v>8</v>
      </c>
      <c r="C74" s="3" t="s">
        <v>118</v>
      </c>
      <c r="E74" s="11"/>
      <c r="F74" s="10" t="s">
        <v>15</v>
      </c>
      <c r="G74" s="1" t="s">
        <v>117</v>
      </c>
    </row>
    <row r="76" spans="2:11" x14ac:dyDescent="0.25">
      <c r="B76" s="10">
        <v>9</v>
      </c>
      <c r="C76" s="3" t="s">
        <v>119</v>
      </c>
      <c r="E76" s="14"/>
      <c r="F76" s="14"/>
    </row>
    <row r="77" spans="2:11" x14ac:dyDescent="0.25">
      <c r="B77" s="10"/>
      <c r="C77" s="1" t="s">
        <v>120</v>
      </c>
      <c r="E77" s="14"/>
      <c r="F77" s="14"/>
    </row>
    <row r="78" spans="2:11" ht="28.5" customHeight="1" x14ac:dyDescent="0.25">
      <c r="B78" s="10"/>
      <c r="C78" s="187" t="s">
        <v>16</v>
      </c>
      <c r="D78" s="188"/>
      <c r="E78" s="188"/>
      <c r="F78" s="188"/>
      <c r="G78" s="188"/>
      <c r="H78" s="188"/>
      <c r="I78" s="188"/>
      <c r="J78" s="188"/>
      <c r="K78" s="188"/>
    </row>
    <row r="80" spans="2:11" ht="15" customHeight="1" x14ac:dyDescent="0.25">
      <c r="B80" s="10">
        <v>10</v>
      </c>
      <c r="C80" s="3" t="s">
        <v>121</v>
      </c>
    </row>
    <row r="81" spans="1:11" ht="40.5" customHeight="1" x14ac:dyDescent="0.25">
      <c r="B81" s="10"/>
      <c r="C81" s="187" t="s">
        <v>333</v>
      </c>
      <c r="D81" s="188"/>
      <c r="E81" s="188"/>
      <c r="F81" s="188"/>
      <c r="G81" s="188"/>
      <c r="H81" s="188"/>
      <c r="I81" s="188"/>
      <c r="J81" s="188"/>
      <c r="K81" s="188"/>
    </row>
    <row r="82" spans="1:11" x14ac:dyDescent="0.25">
      <c r="A82" s="14"/>
      <c r="B82" s="16"/>
      <c r="C82" s="16"/>
      <c r="D82" s="16"/>
      <c r="E82" s="16"/>
      <c r="F82" s="16"/>
      <c r="G82" s="16"/>
      <c r="H82" s="16"/>
      <c r="I82" s="16"/>
      <c r="J82" s="16"/>
    </row>
    <row r="83" spans="1:11" x14ac:dyDescent="0.25">
      <c r="B83" s="10">
        <v>11</v>
      </c>
      <c r="C83" s="3" t="s">
        <v>122</v>
      </c>
      <c r="I83" s="3"/>
    </row>
    <row r="84" spans="1:11" x14ac:dyDescent="0.25">
      <c r="B84" s="10"/>
      <c r="C84" s="1" t="s">
        <v>123</v>
      </c>
      <c r="I84" s="3"/>
    </row>
    <row r="85" spans="1:11" x14ac:dyDescent="0.25">
      <c r="B85" s="10"/>
      <c r="I85" s="3"/>
    </row>
    <row r="86" spans="1:11" ht="12.75" customHeight="1" x14ac:dyDescent="0.25">
      <c r="B86" s="10">
        <v>12</v>
      </c>
      <c r="C86" s="3" t="s">
        <v>124</v>
      </c>
      <c r="I86" s="3"/>
    </row>
    <row r="87" spans="1:11" ht="12.75" customHeight="1" x14ac:dyDescent="0.25">
      <c r="B87" s="47">
        <v>1</v>
      </c>
      <c r="C87" s="1" t="s">
        <v>16</v>
      </c>
      <c r="I87" s="3"/>
    </row>
    <row r="88" spans="1:11" ht="12.75" customHeight="1" x14ac:dyDescent="0.25">
      <c r="B88" s="47">
        <v>2</v>
      </c>
      <c r="C88" s="1" t="s">
        <v>125</v>
      </c>
      <c r="I88" s="3"/>
    </row>
    <row r="89" spans="1:11" ht="12.75" customHeight="1" x14ac:dyDescent="0.25">
      <c r="B89" s="47">
        <v>3</v>
      </c>
      <c r="C89" s="1" t="s">
        <v>126</v>
      </c>
      <c r="I89" s="3"/>
    </row>
    <row r="90" spans="1:11" x14ac:dyDescent="0.25">
      <c r="B90" s="47">
        <v>4</v>
      </c>
      <c r="C90" s="3" t="s">
        <v>127</v>
      </c>
      <c r="I90" s="3"/>
    </row>
    <row r="91" spans="1:11" x14ac:dyDescent="0.25">
      <c r="B91" s="47"/>
      <c r="C91" s="3"/>
      <c r="I91" s="3"/>
    </row>
    <row r="92" spans="1:11" x14ac:dyDescent="0.25">
      <c r="B92" s="10">
        <v>13</v>
      </c>
      <c r="C92" s="3" t="s">
        <v>128</v>
      </c>
    </row>
    <row r="93" spans="1:11" x14ac:dyDescent="0.25">
      <c r="B93" s="3"/>
      <c r="E93" s="6"/>
    </row>
    <row r="94" spans="1:11" x14ac:dyDescent="0.25">
      <c r="B94" s="17"/>
      <c r="C94" s="18"/>
      <c r="D94" s="18" t="s">
        <v>129</v>
      </c>
      <c r="E94" s="18"/>
      <c r="F94" s="19"/>
      <c r="G94" s="18"/>
      <c r="H94" s="18"/>
      <c r="I94" s="18"/>
      <c r="J94" s="20">
        <v>500</v>
      </c>
    </row>
    <row r="95" spans="1:11" x14ac:dyDescent="0.25">
      <c r="B95" s="2" t="s">
        <v>130</v>
      </c>
      <c r="E95" s="6"/>
      <c r="F95" s="177">
        <f>E261</f>
        <v>-119.88888888888889</v>
      </c>
      <c r="G95" s="1" t="s">
        <v>131</v>
      </c>
      <c r="J95" s="4">
        <f>IF(F95&lt;0.5,0,IF(F95&lt;1,5,IF(F95&lt;2,10,IF(F95&lt;3,15,IF(F95&lt;4,25,IF(F95&lt;5,35,IF(F95&lt;10,40,50)))))))</f>
        <v>0</v>
      </c>
    </row>
    <row r="96" spans="1:11" x14ac:dyDescent="0.25">
      <c r="B96" s="17" t="s">
        <v>132</v>
      </c>
      <c r="C96" s="18"/>
      <c r="D96" s="18"/>
      <c r="F96" s="107">
        <v>18</v>
      </c>
      <c r="G96" s="18" t="s">
        <v>133</v>
      </c>
      <c r="H96" s="18"/>
      <c r="I96" s="18"/>
      <c r="J96" s="106">
        <v>18</v>
      </c>
    </row>
    <row r="97" spans="2:11" x14ac:dyDescent="0.25">
      <c r="B97" s="55"/>
      <c r="C97" s="55"/>
      <c r="D97" s="55"/>
      <c r="E97" s="55"/>
      <c r="F97" s="55"/>
      <c r="G97" s="55"/>
    </row>
    <row r="98" spans="2:11" x14ac:dyDescent="0.25">
      <c r="B98" s="6"/>
      <c r="C98" s="6"/>
      <c r="D98" s="6"/>
      <c r="E98" s="6"/>
      <c r="F98" s="6"/>
      <c r="G98" s="6" t="s">
        <v>134</v>
      </c>
      <c r="H98" s="6" t="s">
        <v>134</v>
      </c>
      <c r="I98" s="6" t="s">
        <v>134</v>
      </c>
    </row>
    <row r="99" spans="2:11" x14ac:dyDescent="0.25">
      <c r="B99" s="21" t="s">
        <v>135</v>
      </c>
      <c r="C99" s="21" t="s">
        <v>136</v>
      </c>
      <c r="D99" s="6"/>
      <c r="E99" s="7"/>
      <c r="F99" s="42" t="s">
        <v>137</v>
      </c>
      <c r="G99" s="42" t="s">
        <v>138</v>
      </c>
      <c r="H99" s="42" t="s">
        <v>139</v>
      </c>
      <c r="I99" s="169" t="s">
        <v>140</v>
      </c>
      <c r="J99" s="8" t="s">
        <v>141</v>
      </c>
      <c r="K99" s="182" t="s">
        <v>142</v>
      </c>
    </row>
    <row r="100" spans="2:11" x14ac:dyDescent="0.25">
      <c r="B100" s="97">
        <v>1</v>
      </c>
      <c r="C100" s="183" t="s">
        <v>143</v>
      </c>
      <c r="E100" s="4"/>
      <c r="F100" s="23">
        <v>1560</v>
      </c>
      <c r="G100" s="23">
        <v>1210.93</v>
      </c>
      <c r="H100" s="23"/>
      <c r="I100" s="23"/>
      <c r="K100" s="47">
        <v>1</v>
      </c>
    </row>
    <row r="101" spans="2:11" x14ac:dyDescent="0.25">
      <c r="B101" s="68">
        <v>2</v>
      </c>
      <c r="C101" s="184" t="s">
        <v>144</v>
      </c>
      <c r="E101" s="4"/>
      <c r="F101" s="23">
        <v>1480</v>
      </c>
      <c r="G101" s="23">
        <v>992.18</v>
      </c>
      <c r="H101" s="23"/>
      <c r="I101" s="23"/>
      <c r="K101" s="47">
        <v>2</v>
      </c>
    </row>
    <row r="102" spans="2:11" x14ac:dyDescent="0.25">
      <c r="B102" s="68">
        <v>3</v>
      </c>
      <c r="C102" s="184" t="s">
        <v>145</v>
      </c>
      <c r="E102" s="4"/>
      <c r="F102" s="23">
        <v>8570</v>
      </c>
      <c r="G102" s="23" t="s">
        <v>146</v>
      </c>
      <c r="H102" s="23">
        <v>500</v>
      </c>
      <c r="I102" s="23"/>
      <c r="K102" s="12"/>
    </row>
    <row r="103" spans="2:11" x14ac:dyDescent="0.25">
      <c r="B103" s="68">
        <v>4</v>
      </c>
      <c r="C103" s="184" t="s">
        <v>147</v>
      </c>
      <c r="E103" s="4"/>
      <c r="F103" s="23">
        <v>8861</v>
      </c>
      <c r="G103" s="23" t="s">
        <v>146</v>
      </c>
      <c r="H103" s="23"/>
      <c r="I103" s="23"/>
      <c r="K103" s="12"/>
    </row>
    <row r="104" spans="2:11" x14ac:dyDescent="0.25">
      <c r="B104" s="68">
        <v>5</v>
      </c>
      <c r="C104" s="184" t="s">
        <v>148</v>
      </c>
      <c r="E104" s="4"/>
      <c r="F104" s="23">
        <v>9110</v>
      </c>
      <c r="G104" s="23" t="s">
        <v>146</v>
      </c>
      <c r="H104" s="23"/>
      <c r="I104" s="23"/>
      <c r="K104" s="12"/>
    </row>
    <row r="105" spans="2:11" x14ac:dyDescent="0.25">
      <c r="B105" s="68">
        <v>6</v>
      </c>
      <c r="C105" s="184" t="s">
        <v>149</v>
      </c>
      <c r="E105" s="4"/>
      <c r="F105" s="23">
        <v>3030</v>
      </c>
      <c r="G105" s="23" t="s">
        <v>146</v>
      </c>
      <c r="H105" s="23"/>
      <c r="I105" s="23"/>
      <c r="K105" s="12"/>
    </row>
    <row r="106" spans="2:11" x14ac:dyDescent="0.25">
      <c r="B106" s="68">
        <v>7</v>
      </c>
      <c r="C106" s="184" t="s">
        <v>150</v>
      </c>
      <c r="E106" s="4"/>
      <c r="F106" s="23">
        <v>1560</v>
      </c>
      <c r="G106" s="23" t="s">
        <v>146</v>
      </c>
      <c r="H106" s="23"/>
      <c r="I106" s="23"/>
      <c r="K106" s="12"/>
    </row>
    <row r="107" spans="2:11" x14ac:dyDescent="0.25">
      <c r="B107" s="68">
        <v>8</v>
      </c>
      <c r="C107" s="184" t="s">
        <v>151</v>
      </c>
      <c r="E107" s="4"/>
      <c r="F107" s="23">
        <v>8570</v>
      </c>
      <c r="G107" s="23" t="s">
        <v>146</v>
      </c>
      <c r="H107" s="23"/>
      <c r="I107" s="23"/>
      <c r="K107" s="12"/>
    </row>
    <row r="108" spans="2:11" x14ac:dyDescent="0.25">
      <c r="B108" s="68">
        <v>9</v>
      </c>
      <c r="C108" s="184" t="s">
        <v>152</v>
      </c>
      <c r="E108" s="4"/>
      <c r="F108" s="23">
        <v>9110</v>
      </c>
      <c r="G108" s="23" t="s">
        <v>146</v>
      </c>
      <c r="H108" s="23"/>
      <c r="I108" s="23"/>
      <c r="K108" s="12"/>
    </row>
    <row r="109" spans="2:11" x14ac:dyDescent="0.25">
      <c r="B109" s="68">
        <v>10</v>
      </c>
      <c r="C109" s="184" t="s">
        <v>153</v>
      </c>
      <c r="E109" s="4"/>
      <c r="F109" s="23">
        <v>8861</v>
      </c>
      <c r="G109" s="23" t="s">
        <v>146</v>
      </c>
      <c r="H109" s="23"/>
      <c r="I109" s="23"/>
      <c r="K109" s="12"/>
    </row>
    <row r="110" spans="2:11" x14ac:dyDescent="0.25">
      <c r="B110" s="68">
        <v>11</v>
      </c>
      <c r="C110" s="184" t="s">
        <v>154</v>
      </c>
      <c r="E110" s="4"/>
      <c r="F110" s="23">
        <v>2270</v>
      </c>
      <c r="G110" s="23" t="s">
        <v>146</v>
      </c>
      <c r="H110" s="23"/>
      <c r="I110" s="23"/>
      <c r="K110" s="12"/>
    </row>
    <row r="111" spans="2:11" x14ac:dyDescent="0.25">
      <c r="B111" s="68">
        <v>12</v>
      </c>
      <c r="C111" s="184" t="s">
        <v>155</v>
      </c>
      <c r="E111" s="4"/>
      <c r="F111" s="23">
        <v>2270</v>
      </c>
      <c r="G111" s="23" t="s">
        <v>146</v>
      </c>
      <c r="H111" s="23"/>
      <c r="I111" s="23"/>
      <c r="K111" s="12"/>
    </row>
    <row r="112" spans="2:11" x14ac:dyDescent="0.25">
      <c r="B112" s="68">
        <v>13</v>
      </c>
      <c r="C112" s="184" t="s">
        <v>156</v>
      </c>
      <c r="E112" s="4"/>
      <c r="F112" s="23">
        <v>302</v>
      </c>
      <c r="G112" s="23" t="s">
        <v>146</v>
      </c>
      <c r="H112" s="23"/>
      <c r="I112" s="23"/>
      <c r="K112" s="12"/>
    </row>
    <row r="113" spans="2:11" x14ac:dyDescent="0.25">
      <c r="B113" s="68">
        <v>14</v>
      </c>
      <c r="C113" s="184" t="s">
        <v>157</v>
      </c>
      <c r="E113" s="4"/>
      <c r="F113" s="23">
        <v>3560</v>
      </c>
      <c r="G113" s="23" t="s">
        <v>146</v>
      </c>
      <c r="H113" s="23"/>
      <c r="I113" s="23"/>
      <c r="K113" s="12"/>
    </row>
    <row r="114" spans="2:11" x14ac:dyDescent="0.25">
      <c r="B114" s="68">
        <v>15</v>
      </c>
      <c r="C114" s="184" t="s">
        <v>158</v>
      </c>
      <c r="E114" s="4"/>
      <c r="F114" s="23">
        <v>70000</v>
      </c>
      <c r="G114" s="23" t="s">
        <v>146</v>
      </c>
      <c r="H114" s="23"/>
      <c r="I114" s="23"/>
      <c r="K114" s="12"/>
    </row>
    <row r="115" spans="2:11" x14ac:dyDescent="0.25">
      <c r="B115" s="68">
        <v>16</v>
      </c>
      <c r="C115" s="184" t="s">
        <v>159</v>
      </c>
      <c r="E115" s="4"/>
      <c r="F115" s="23"/>
      <c r="G115" s="23"/>
      <c r="H115" s="23"/>
      <c r="I115" s="23"/>
      <c r="J115">
        <v>1771.18</v>
      </c>
      <c r="K115" s="47">
        <v>3</v>
      </c>
    </row>
    <row r="116" spans="2:11" x14ac:dyDescent="0.25">
      <c r="B116" s="68">
        <v>17</v>
      </c>
      <c r="C116" s="184" t="s">
        <v>160</v>
      </c>
      <c r="E116" s="4"/>
      <c r="F116" s="23"/>
      <c r="G116" s="23"/>
      <c r="H116" s="23"/>
      <c r="I116" s="23"/>
      <c r="J116">
        <v>20000</v>
      </c>
      <c r="K116" s="47">
        <v>4</v>
      </c>
    </row>
    <row r="117" spans="2:11" x14ac:dyDescent="0.25">
      <c r="B117" s="68"/>
      <c r="E117" s="4"/>
      <c r="F117" s="23"/>
      <c r="G117" s="23"/>
      <c r="H117" s="23"/>
      <c r="I117" s="23"/>
      <c r="K117" s="12"/>
    </row>
    <row r="118" spans="2:11" x14ac:dyDescent="0.25">
      <c r="B118" s="68"/>
      <c r="E118" s="4"/>
      <c r="F118" s="23"/>
      <c r="G118" s="23"/>
      <c r="H118" s="23"/>
      <c r="I118" s="23"/>
      <c r="K118" s="12"/>
    </row>
    <row r="119" spans="2:11" x14ac:dyDescent="0.25">
      <c r="B119" s="68"/>
      <c r="E119" s="4"/>
      <c r="F119" s="23"/>
      <c r="G119" s="23"/>
      <c r="H119" s="23"/>
      <c r="I119" s="23"/>
      <c r="K119" s="12"/>
    </row>
    <row r="120" spans="2:11" x14ac:dyDescent="0.25">
      <c r="B120" s="68"/>
      <c r="E120" s="4"/>
      <c r="F120" s="23"/>
      <c r="G120" s="23"/>
      <c r="H120" s="23"/>
      <c r="I120" s="23"/>
      <c r="K120" s="12"/>
    </row>
    <row r="121" spans="2:11" x14ac:dyDescent="0.25">
      <c r="B121" s="68"/>
      <c r="E121" s="4"/>
      <c r="F121" s="23"/>
      <c r="G121" s="23"/>
      <c r="H121" s="23"/>
      <c r="I121" s="23"/>
      <c r="K121" s="12"/>
    </row>
    <row r="122" spans="2:11" x14ac:dyDescent="0.25">
      <c r="B122" s="68"/>
      <c r="E122" s="4"/>
      <c r="F122" s="23"/>
      <c r="G122" s="23"/>
      <c r="H122" s="23"/>
      <c r="I122" s="23"/>
      <c r="K122" s="12"/>
    </row>
    <row r="123" spans="2:11" x14ac:dyDescent="0.25">
      <c r="B123" s="68"/>
      <c r="E123" s="4"/>
      <c r="F123" s="23"/>
      <c r="G123" s="23"/>
      <c r="H123" s="23"/>
      <c r="I123" s="23"/>
      <c r="K123" s="12"/>
    </row>
    <row r="124" spans="2:11" x14ac:dyDescent="0.25">
      <c r="B124" s="68"/>
      <c r="E124" s="4"/>
      <c r="F124" s="23"/>
      <c r="G124" s="23"/>
      <c r="H124" s="23"/>
      <c r="I124" s="23"/>
      <c r="K124" s="12"/>
    </row>
    <row r="125" spans="2:11" x14ac:dyDescent="0.25">
      <c r="B125" s="68"/>
      <c r="E125" s="4"/>
      <c r="F125" s="23"/>
      <c r="G125" s="23"/>
      <c r="H125" s="23"/>
      <c r="I125" s="23"/>
      <c r="K125" s="12"/>
    </row>
    <row r="126" spans="2:11" x14ac:dyDescent="0.25">
      <c r="B126" s="68"/>
      <c r="E126" s="4"/>
      <c r="F126" s="23"/>
      <c r="G126" s="23"/>
      <c r="H126" s="23"/>
      <c r="I126" s="23"/>
      <c r="K126" s="12"/>
    </row>
    <row r="127" spans="2:11" x14ac:dyDescent="0.25">
      <c r="B127" s="68"/>
      <c r="E127" s="4"/>
      <c r="F127" s="23"/>
      <c r="G127" s="23"/>
      <c r="H127" s="23"/>
      <c r="I127" s="23"/>
      <c r="K127" s="12"/>
    </row>
    <row r="128" spans="2:11" x14ac:dyDescent="0.25">
      <c r="B128" s="68"/>
      <c r="E128" s="4"/>
      <c r="F128" s="23"/>
      <c r="G128" s="23"/>
      <c r="H128" s="23"/>
      <c r="I128" s="23"/>
      <c r="K128" s="12"/>
    </row>
    <row r="129" spans="1:13" x14ac:dyDescent="0.25">
      <c r="B129" s="68"/>
      <c r="E129" s="4"/>
      <c r="F129" s="23"/>
      <c r="G129" s="23"/>
      <c r="H129" s="23"/>
      <c r="I129" s="23"/>
      <c r="K129" s="12"/>
    </row>
    <row r="130" spans="1:13" x14ac:dyDescent="0.25">
      <c r="B130" s="68"/>
      <c r="E130" s="4"/>
      <c r="F130" s="23"/>
      <c r="G130" s="23"/>
      <c r="H130" s="23"/>
      <c r="I130" s="23"/>
      <c r="K130" s="12"/>
    </row>
    <row r="131" spans="1:13" x14ac:dyDescent="0.25">
      <c r="B131" s="68"/>
      <c r="E131" s="4"/>
      <c r="F131" s="23"/>
      <c r="G131" s="23"/>
      <c r="H131" s="23"/>
      <c r="I131" s="23"/>
      <c r="K131" s="12"/>
    </row>
    <row r="132" spans="1:13" x14ac:dyDescent="0.25">
      <c r="B132" s="68"/>
      <c r="E132" s="4"/>
      <c r="F132" s="23"/>
      <c r="G132" s="23"/>
      <c r="H132" s="23"/>
      <c r="I132" s="23"/>
      <c r="K132" s="12"/>
    </row>
    <row r="133" spans="1:13" x14ac:dyDescent="0.25">
      <c r="B133" s="68"/>
      <c r="E133" s="4"/>
      <c r="F133" s="23"/>
      <c r="G133" s="23"/>
      <c r="H133" s="23"/>
      <c r="I133" s="23"/>
      <c r="K133" s="12"/>
    </row>
    <row r="134" spans="1:13" x14ac:dyDescent="0.25">
      <c r="B134" s="98"/>
      <c r="C134" s="41"/>
      <c r="D134" s="41"/>
      <c r="E134" s="81"/>
      <c r="F134" s="24"/>
      <c r="G134" s="82"/>
      <c r="H134" s="83"/>
      <c r="I134" s="82">
        <v>1000</v>
      </c>
      <c r="J134" s="57"/>
    </row>
    <row r="135" spans="1:13" x14ac:dyDescent="0.25">
      <c r="B135" s="2" t="s">
        <v>161</v>
      </c>
      <c r="E135" s="4"/>
      <c r="F135" s="23">
        <f>SUM(F100:F134)</f>
        <v>139114</v>
      </c>
      <c r="G135" s="30">
        <f>SUM(G100:G134)</f>
        <v>2203.11</v>
      </c>
      <c r="H135" s="22">
        <f>SUM(H100:H134)</f>
        <v>500</v>
      </c>
      <c r="I135" s="22">
        <f>SUM(I100:I134)</f>
        <v>1000</v>
      </c>
      <c r="J135" s="29">
        <f>SUM(J100:J134)</f>
        <v>21771.18</v>
      </c>
      <c r="M135" s="29"/>
    </row>
    <row r="136" spans="1:13" x14ac:dyDescent="0.25">
      <c r="A136" s="4"/>
      <c r="B136" s="108">
        <v>18</v>
      </c>
      <c r="C136" s="6" t="s">
        <v>162</v>
      </c>
      <c r="D136" s="6"/>
      <c r="E136" s="7"/>
      <c r="F136" s="28">
        <f>B136*F135/100</f>
        <v>25040.52</v>
      </c>
      <c r="G136" s="43">
        <f>B136*G135/100</f>
        <v>396.55980000000005</v>
      </c>
      <c r="H136" s="28">
        <f>B136*H135/100</f>
        <v>90</v>
      </c>
      <c r="I136" s="28">
        <f>18*I135/100</f>
        <v>180</v>
      </c>
      <c r="J136" s="29"/>
      <c r="M136" s="29"/>
    </row>
    <row r="137" spans="1:13" ht="12" customHeight="1" x14ac:dyDescent="0.25">
      <c r="B137" s="2" t="s">
        <v>161</v>
      </c>
      <c r="F137" s="30">
        <f>SUM(F135:F136)</f>
        <v>164154.51999999999</v>
      </c>
      <c r="G137" s="30">
        <f>SUM(G135:G136)</f>
        <v>2599.6698000000001</v>
      </c>
      <c r="H137" s="30">
        <f>SUM(H135:H136)</f>
        <v>590</v>
      </c>
      <c r="I137" s="22">
        <f>SUM(I135:I136)</f>
        <v>1180</v>
      </c>
      <c r="J137" s="29"/>
    </row>
    <row r="138" spans="1:13" ht="12" customHeight="1" x14ac:dyDescent="0.25">
      <c r="B138" s="13" t="s">
        <v>163</v>
      </c>
      <c r="F138" s="30"/>
      <c r="G138" s="30"/>
      <c r="H138" s="30"/>
      <c r="I138" s="22"/>
    </row>
    <row r="139" spans="1:13" x14ac:dyDescent="0.25">
      <c r="B139" s="5">
        <f>J95</f>
        <v>0</v>
      </c>
      <c r="C139" s="6" t="s">
        <v>164</v>
      </c>
      <c r="D139" s="6"/>
      <c r="E139" s="7"/>
      <c r="F139" s="27"/>
      <c r="G139" s="27">
        <f>B139*G137/100</f>
        <v>0</v>
      </c>
      <c r="H139" s="27">
        <f>H137/2</f>
        <v>295</v>
      </c>
      <c r="I139" s="22">
        <v>0</v>
      </c>
      <c r="J139" s="29"/>
    </row>
    <row r="140" spans="1:13" x14ac:dyDescent="0.25">
      <c r="B140" s="17" t="s">
        <v>165</v>
      </c>
      <c r="C140" s="18"/>
      <c r="D140" s="18"/>
      <c r="E140" s="20"/>
      <c r="F140" s="31">
        <f>F137</f>
        <v>164154.51999999999</v>
      </c>
      <c r="G140" s="32">
        <f>G137-G139</f>
        <v>2599.6698000000001</v>
      </c>
      <c r="H140" s="31">
        <f>H137-H139</f>
        <v>295</v>
      </c>
      <c r="I140" s="32">
        <f>I137-I139</f>
        <v>1180</v>
      </c>
      <c r="J140" s="29"/>
    </row>
    <row r="141" spans="1:13" x14ac:dyDescent="0.25">
      <c r="B141" s="21" t="s">
        <v>166</v>
      </c>
      <c r="C141" s="6"/>
      <c r="D141" s="18"/>
      <c r="E141" s="33"/>
      <c r="F141" s="34">
        <f>F140</f>
        <v>164154.51999999999</v>
      </c>
      <c r="G141" s="35">
        <f>G140+H140+I140+J140</f>
        <v>4074.6698000000001</v>
      </c>
      <c r="H141" s="36"/>
      <c r="I141" s="20"/>
    </row>
    <row r="142" spans="1:13" x14ac:dyDescent="0.25">
      <c r="B142" s="3"/>
      <c r="F142" s="57"/>
      <c r="G142" s="57"/>
    </row>
    <row r="143" spans="1:13" x14ac:dyDescent="0.25">
      <c r="B143" s="3" t="s">
        <v>167</v>
      </c>
      <c r="G143" s="46">
        <f>G139+H139+J139+I139</f>
        <v>295</v>
      </c>
    </row>
    <row r="144" spans="1:13" ht="12.75" customHeight="1" x14ac:dyDescent="0.25">
      <c r="I144" s="3"/>
    </row>
    <row r="145" spans="2:9" ht="12.75" customHeight="1" x14ac:dyDescent="0.25">
      <c r="I145" s="3"/>
    </row>
    <row r="146" spans="2:9" ht="12.75" customHeight="1" x14ac:dyDescent="0.25">
      <c r="I146" s="3"/>
    </row>
    <row r="147" spans="2:9" ht="12.75" customHeight="1" x14ac:dyDescent="0.25">
      <c r="I147" s="3"/>
    </row>
    <row r="148" spans="2:9" ht="12.75" customHeight="1" x14ac:dyDescent="0.25">
      <c r="I148" s="3"/>
    </row>
    <row r="149" spans="2:9" ht="12.75" customHeight="1" x14ac:dyDescent="0.25">
      <c r="I149" s="3"/>
    </row>
    <row r="150" spans="2:9" ht="12.75" customHeight="1" x14ac:dyDescent="0.25">
      <c r="I150" s="3"/>
    </row>
    <row r="151" spans="2:9" ht="12.75" customHeight="1" x14ac:dyDescent="0.25">
      <c r="I151" s="3"/>
    </row>
    <row r="152" spans="2:9" ht="12.75" customHeight="1" x14ac:dyDescent="0.25">
      <c r="B152" s="9" t="s">
        <v>168</v>
      </c>
      <c r="G152" s="46"/>
    </row>
    <row r="153" spans="2:9" ht="12.75" customHeight="1" x14ac:dyDescent="0.25">
      <c r="G153" s="46"/>
    </row>
    <row r="154" spans="2:9" ht="12.75" customHeight="1" x14ac:dyDescent="0.25">
      <c r="B154" s="39" t="s">
        <v>169</v>
      </c>
      <c r="C154" s="18"/>
      <c r="D154" s="18"/>
      <c r="E154" s="18"/>
      <c r="F154" s="18"/>
      <c r="G154" s="62"/>
      <c r="H154" s="18"/>
      <c r="I154" s="40"/>
    </row>
    <row r="155" spans="2:9" ht="12.75" customHeight="1" x14ac:dyDescent="0.25">
      <c r="B155" s="63" t="s">
        <v>135</v>
      </c>
      <c r="C155" s="64" t="s">
        <v>170</v>
      </c>
      <c r="D155" s="18"/>
      <c r="E155" s="20"/>
      <c r="F155" s="85" t="s">
        <v>171</v>
      </c>
      <c r="G155" s="65" t="s">
        <v>172</v>
      </c>
      <c r="H155" s="66" t="s">
        <v>173</v>
      </c>
      <c r="I155" s="67" t="s">
        <v>174</v>
      </c>
    </row>
    <row r="156" spans="2:9" ht="12.75" customHeight="1" x14ac:dyDescent="0.25">
      <c r="B156" s="68"/>
      <c r="F156" s="71"/>
      <c r="G156" s="69"/>
      <c r="H156" s="70"/>
      <c r="I156" s="71"/>
    </row>
    <row r="157" spans="2:9" ht="12.75" customHeight="1" x14ac:dyDescent="0.25">
      <c r="B157" s="68"/>
      <c r="F157" s="145"/>
      <c r="G157" s="69"/>
      <c r="H157" s="70"/>
      <c r="I157" s="145"/>
    </row>
    <row r="158" spans="2:9" ht="12.75" customHeight="1" x14ac:dyDescent="0.25">
      <c r="B158" s="68"/>
      <c r="F158" s="145"/>
      <c r="G158" s="69"/>
      <c r="H158" s="70"/>
      <c r="I158" s="145"/>
    </row>
    <row r="159" spans="2:9" ht="12.75" customHeight="1" x14ac:dyDescent="0.25">
      <c r="B159" s="68"/>
      <c r="F159" s="145"/>
      <c r="G159" s="69"/>
      <c r="H159" s="70"/>
      <c r="I159" s="145"/>
    </row>
    <row r="160" spans="2:9" ht="12.75" customHeight="1" x14ac:dyDescent="0.25">
      <c r="B160" s="68"/>
      <c r="F160" s="84"/>
      <c r="G160" s="69"/>
      <c r="H160" s="70"/>
      <c r="I160" s="84"/>
    </row>
    <row r="161" spans="1:9" ht="12.75" customHeight="1" x14ac:dyDescent="0.25">
      <c r="B161" s="78" t="s">
        <v>161</v>
      </c>
      <c r="C161" s="55"/>
      <c r="D161" s="55"/>
      <c r="E161" s="55"/>
      <c r="F161" s="22">
        <f>SUM(F156:F160)</f>
        <v>0</v>
      </c>
      <c r="G161" s="58">
        <f>SUM(G156:G160)</f>
        <v>0</v>
      </c>
      <c r="H161" s="60">
        <f>SUM(H156:H160)</f>
        <v>0</v>
      </c>
      <c r="I161" s="23">
        <f>SUM(I156:I160)</f>
        <v>0</v>
      </c>
    </row>
    <row r="162" spans="1:9" ht="12.75" customHeight="1" x14ac:dyDescent="0.25">
      <c r="B162" s="5"/>
      <c r="C162" s="6"/>
      <c r="D162" s="6"/>
      <c r="E162" s="6"/>
      <c r="F162" s="28"/>
      <c r="G162" s="25"/>
      <c r="H162" s="28"/>
      <c r="I162" s="24"/>
    </row>
    <row r="163" spans="1:9" ht="12.75" customHeight="1" x14ac:dyDescent="0.25">
      <c r="A163" s="4"/>
      <c r="B163" s="39" t="s">
        <v>161</v>
      </c>
      <c r="C163" s="18"/>
      <c r="D163" s="18"/>
      <c r="E163" s="18"/>
      <c r="F163" s="32">
        <f>F161</f>
        <v>0</v>
      </c>
      <c r="G163" s="54">
        <f>G161</f>
        <v>0</v>
      </c>
      <c r="H163" s="60">
        <f>H161</f>
        <v>0</v>
      </c>
      <c r="I163" s="26">
        <f>I161-I162</f>
        <v>0</v>
      </c>
    </row>
    <row r="164" spans="1:9" ht="12.75" customHeight="1" x14ac:dyDescent="0.25">
      <c r="B164" s="21"/>
      <c r="C164" s="6"/>
      <c r="D164" s="41" t="s">
        <v>175</v>
      </c>
      <c r="E164" s="6"/>
      <c r="F164" s="25"/>
      <c r="G164" s="25"/>
      <c r="H164" s="73">
        <f>F163+G163+H163+I163</f>
        <v>0</v>
      </c>
      <c r="I164" s="74"/>
    </row>
    <row r="165" spans="1:9" ht="12.75" customHeight="1" x14ac:dyDescent="0.25">
      <c r="B165" s="75"/>
      <c r="C165" s="55"/>
      <c r="D165" s="55"/>
      <c r="E165" s="55"/>
      <c r="F165" s="58"/>
      <c r="G165" s="58"/>
      <c r="H165" s="29"/>
      <c r="I165" s="29"/>
    </row>
    <row r="166" spans="1:9" ht="12.75" customHeight="1" x14ac:dyDescent="0.25">
      <c r="B166" s="39" t="s">
        <v>176</v>
      </c>
      <c r="C166" s="18"/>
      <c r="D166" s="18"/>
      <c r="E166" s="18"/>
      <c r="F166" s="72"/>
      <c r="G166" s="72"/>
      <c r="H166" s="76" t="s">
        <v>137</v>
      </c>
      <c r="I166" s="76" t="s">
        <v>177</v>
      </c>
    </row>
    <row r="167" spans="1:9" ht="12.75" customHeight="1" x14ac:dyDescent="0.25">
      <c r="B167" s="13"/>
      <c r="F167" s="29"/>
      <c r="G167" s="29"/>
      <c r="H167" s="22">
        <f>I154</f>
        <v>0</v>
      </c>
      <c r="I167" s="22">
        <f>H164</f>
        <v>0</v>
      </c>
    </row>
    <row r="168" spans="1:9" ht="12.75" customHeight="1" x14ac:dyDescent="0.25">
      <c r="B168" s="109">
        <f>J96</f>
        <v>18</v>
      </c>
      <c r="C168" s="6" t="s">
        <v>162</v>
      </c>
      <c r="F168" s="29"/>
      <c r="G168" s="29"/>
      <c r="H168" s="22">
        <f>B168*H167/100</f>
        <v>0</v>
      </c>
      <c r="I168" s="22">
        <f>B168*I167/100</f>
        <v>0</v>
      </c>
    </row>
    <row r="169" spans="1:9" ht="12.75" customHeight="1" x14ac:dyDescent="0.25">
      <c r="B169" s="39" t="s">
        <v>178</v>
      </c>
      <c r="C169" s="18"/>
      <c r="D169" s="18"/>
      <c r="E169" s="18"/>
      <c r="F169" s="77"/>
      <c r="G169" s="77"/>
      <c r="H169" s="37">
        <f>H167+H168</f>
        <v>0</v>
      </c>
      <c r="I169" s="35">
        <f>I167+I168</f>
        <v>0</v>
      </c>
    </row>
    <row r="170" spans="1:9" ht="12.75" customHeight="1" x14ac:dyDescent="0.25"/>
    <row r="171" spans="1:9" ht="12.75" customHeight="1" x14ac:dyDescent="0.25">
      <c r="B171" s="3" t="s">
        <v>179</v>
      </c>
      <c r="G171" s="57">
        <f>I169</f>
        <v>0</v>
      </c>
    </row>
    <row r="172" spans="1:9" ht="12.75" customHeight="1" x14ac:dyDescent="0.25">
      <c r="B172" s="6"/>
      <c r="C172" s="6"/>
      <c r="D172" s="6"/>
      <c r="E172" s="6"/>
      <c r="F172" s="6"/>
      <c r="G172" s="6"/>
    </row>
    <row r="173" spans="1:9" x14ac:dyDescent="0.25">
      <c r="B173" s="21" t="s">
        <v>180</v>
      </c>
      <c r="C173" s="6"/>
      <c r="D173" s="6"/>
      <c r="E173" s="7"/>
      <c r="F173" s="42" t="s">
        <v>137</v>
      </c>
      <c r="G173" s="42" t="s">
        <v>177</v>
      </c>
    </row>
    <row r="174" spans="1:9" x14ac:dyDescent="0.25">
      <c r="B174" s="59" t="s">
        <v>181</v>
      </c>
      <c r="C174" s="55"/>
      <c r="D174" s="55"/>
      <c r="E174" s="55"/>
      <c r="F174" s="60">
        <f>F141</f>
        <v>164154.51999999999</v>
      </c>
      <c r="G174" s="26">
        <f>G141</f>
        <v>4074.6698000000001</v>
      </c>
    </row>
    <row r="175" spans="1:9" x14ac:dyDescent="0.25">
      <c r="B175" s="5" t="s">
        <v>182</v>
      </c>
      <c r="C175" s="6"/>
      <c r="D175" s="6"/>
      <c r="E175" s="6"/>
      <c r="F175" s="28">
        <f>H169</f>
        <v>0</v>
      </c>
      <c r="G175" s="24">
        <f>G171</f>
        <v>0</v>
      </c>
    </row>
    <row r="176" spans="1:9" x14ac:dyDescent="0.25">
      <c r="B176" s="2" t="s">
        <v>161</v>
      </c>
      <c r="E176" s="4"/>
      <c r="F176" s="23">
        <f>F174+F175</f>
        <v>164154.51999999999</v>
      </c>
      <c r="G176" s="23">
        <f>G174+G175</f>
        <v>4074.6698000000001</v>
      </c>
    </row>
    <row r="177" spans="1:12" x14ac:dyDescent="0.25">
      <c r="B177" s="5" t="s">
        <v>183</v>
      </c>
      <c r="C177" s="6"/>
      <c r="D177" s="6"/>
      <c r="E177" s="7"/>
      <c r="F177" s="4"/>
      <c r="G177" s="23">
        <f>J94</f>
        <v>500</v>
      </c>
    </row>
    <row r="178" spans="1:12" ht="12" customHeight="1" x14ac:dyDescent="0.25">
      <c r="B178" s="21" t="s">
        <v>184</v>
      </c>
      <c r="C178" s="6"/>
      <c r="D178" s="18"/>
      <c r="E178" s="33"/>
      <c r="F178" s="37">
        <f>F176</f>
        <v>164154.51999999999</v>
      </c>
      <c r="G178" s="38">
        <f>G176-G177</f>
        <v>3574.6698000000001</v>
      </c>
    </row>
    <row r="180" spans="1:12" ht="12.75" customHeight="1" x14ac:dyDescent="0.25">
      <c r="B180" s="1" t="s">
        <v>185</v>
      </c>
      <c r="G180" s="29">
        <v>0</v>
      </c>
    </row>
    <row r="181" spans="1:12" x14ac:dyDescent="0.25">
      <c r="B181" s="39" t="s">
        <v>186</v>
      </c>
      <c r="C181" s="18"/>
      <c r="D181" s="18"/>
      <c r="E181" s="18"/>
      <c r="F181" s="18"/>
      <c r="G181" s="40">
        <f>G178-G180</f>
        <v>3574.6698000000001</v>
      </c>
      <c r="I181" s="29"/>
    </row>
    <row r="182" spans="1:12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</row>
    <row r="183" spans="1:12" ht="60" customHeight="1" x14ac:dyDescent="0.25">
      <c r="A183" s="16"/>
      <c r="B183" s="191" t="s">
        <v>187</v>
      </c>
      <c r="C183" s="188"/>
      <c r="D183" s="188"/>
      <c r="E183" s="188"/>
      <c r="F183" s="188"/>
      <c r="G183" s="188"/>
      <c r="H183" s="188"/>
      <c r="I183" s="188"/>
      <c r="J183" s="188"/>
      <c r="K183" s="188"/>
    </row>
    <row r="184" spans="1:12" x14ac:dyDescent="0.25">
      <c r="A184" s="16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</row>
    <row r="185" spans="1:12" x14ac:dyDescent="0.25">
      <c r="B185" s="49" t="s">
        <v>188</v>
      </c>
    </row>
    <row r="186" spans="1:12" x14ac:dyDescent="0.25">
      <c r="B186" s="3"/>
    </row>
    <row r="187" spans="1:12" x14ac:dyDescent="0.25">
      <c r="B187" s="12">
        <v>1</v>
      </c>
      <c r="C187" s="1" t="s">
        <v>189</v>
      </c>
      <c r="E187" s="3" t="s">
        <v>15</v>
      </c>
      <c r="F187" s="12" t="str">
        <f>G29</f>
        <v>S00546022</v>
      </c>
    </row>
    <row r="188" spans="1:12" ht="10.5" customHeight="1" x14ac:dyDescent="0.25">
      <c r="B188" s="12"/>
      <c r="E188" s="3"/>
    </row>
    <row r="189" spans="1:12" x14ac:dyDescent="0.25">
      <c r="B189" s="12">
        <v>2</v>
      </c>
      <c r="C189" s="1" t="s">
        <v>190</v>
      </c>
      <c r="E189" s="3" t="s">
        <v>15</v>
      </c>
      <c r="F189" s="12" t="str">
        <f>G30</f>
        <v>N8272201</v>
      </c>
    </row>
    <row r="190" spans="1:12" x14ac:dyDescent="0.25">
      <c r="B190" s="3"/>
      <c r="J190" s="3"/>
    </row>
    <row r="191" spans="1:12" x14ac:dyDescent="0.25">
      <c r="B191" s="3"/>
      <c r="C191" s="59" t="s">
        <v>191</v>
      </c>
      <c r="D191" s="55"/>
      <c r="E191" s="55"/>
      <c r="F191" s="55"/>
      <c r="G191" s="79"/>
      <c r="J191" s="3" t="s">
        <v>192</v>
      </c>
    </row>
    <row r="192" spans="1:12" x14ac:dyDescent="0.25">
      <c r="C192" s="2"/>
      <c r="G192" s="4"/>
    </row>
    <row r="193" spans="2:22" ht="13.8" x14ac:dyDescent="0.25">
      <c r="B193" s="3"/>
      <c r="C193" s="80" t="s">
        <v>193</v>
      </c>
      <c r="D193" s="6"/>
      <c r="E193" s="6"/>
      <c r="F193" s="6"/>
      <c r="G193" s="7"/>
    </row>
    <row r="194" spans="2:22" x14ac:dyDescent="0.25">
      <c r="B194" s="3"/>
    </row>
    <row r="195" spans="2:22" x14ac:dyDescent="0.25">
      <c r="B195" s="3"/>
    </row>
    <row r="196" spans="2:22" x14ac:dyDescent="0.25">
      <c r="B196" s="3"/>
    </row>
    <row r="197" spans="2:22" x14ac:dyDescent="0.25">
      <c r="M197" s="3" t="s">
        <v>194</v>
      </c>
    </row>
    <row r="198" spans="2:22" x14ac:dyDescent="0.25">
      <c r="M198" s="3"/>
    </row>
    <row r="199" spans="2:22" ht="12.75" customHeight="1" x14ac:dyDescent="0.25">
      <c r="M199" s="67" t="s">
        <v>195</v>
      </c>
      <c r="N199" s="120" t="s">
        <v>196</v>
      </c>
      <c r="O199" s="189" t="s">
        <v>197</v>
      </c>
      <c r="P199" s="190"/>
      <c r="Q199" s="189" t="s">
        <v>198</v>
      </c>
      <c r="R199" s="190"/>
      <c r="S199" s="189" t="s">
        <v>199</v>
      </c>
      <c r="T199" s="190"/>
      <c r="U199" s="192" t="s">
        <v>200</v>
      </c>
      <c r="V199" s="193"/>
    </row>
    <row r="200" spans="2:22" x14ac:dyDescent="0.25">
      <c r="M200" s="115"/>
      <c r="N200" s="7"/>
      <c r="O200" s="66" t="s">
        <v>201</v>
      </c>
      <c r="P200" s="65" t="s">
        <v>202</v>
      </c>
      <c r="Q200" s="113" t="s">
        <v>201</v>
      </c>
      <c r="R200" s="65" t="s">
        <v>202</v>
      </c>
      <c r="S200" s="113" t="s">
        <v>201</v>
      </c>
      <c r="T200" s="65" t="s">
        <v>202</v>
      </c>
      <c r="U200" s="194"/>
      <c r="V200" s="195"/>
    </row>
    <row r="201" spans="2:22" x14ac:dyDescent="0.25">
      <c r="B201" s="3"/>
      <c r="C201" s="1" t="s">
        <v>326</v>
      </c>
      <c r="D201" s="1" t="s">
        <v>327</v>
      </c>
      <c r="M201" s="104"/>
      <c r="N201" s="116">
        <f>G135+H135</f>
        <v>2703.11</v>
      </c>
      <c r="O201" s="104">
        <v>14</v>
      </c>
      <c r="P201" s="118">
        <f>14*N201/100</f>
        <v>378.43540000000002</v>
      </c>
      <c r="Q201" s="112">
        <v>14</v>
      </c>
      <c r="R201" s="118">
        <f>P201</f>
        <v>378.43540000000002</v>
      </c>
      <c r="S201" s="114"/>
      <c r="T201" s="4"/>
      <c r="U201" s="29">
        <f>P201+R201</f>
        <v>756.87080000000003</v>
      </c>
      <c r="V201" s="4"/>
    </row>
    <row r="202" spans="2:22" x14ac:dyDescent="0.25">
      <c r="B202" s="3"/>
      <c r="M202" s="104"/>
      <c r="N202" s="116">
        <f>I135</f>
        <v>1000</v>
      </c>
      <c r="O202" s="104">
        <v>9</v>
      </c>
      <c r="P202" s="118">
        <f>9*N202/100</f>
        <v>90</v>
      </c>
      <c r="Q202" s="112">
        <v>9</v>
      </c>
      <c r="R202" s="118">
        <f>P202</f>
        <v>90</v>
      </c>
      <c r="S202" s="56"/>
      <c r="T202" s="4"/>
      <c r="U202" s="29">
        <f>P202+R202</f>
        <v>180</v>
      </c>
      <c r="V202" s="4"/>
    </row>
    <row r="203" spans="2:22" x14ac:dyDescent="0.25">
      <c r="B203" s="3"/>
      <c r="M203" s="104"/>
      <c r="N203" s="116">
        <f>J135</f>
        <v>21771.18</v>
      </c>
      <c r="O203" s="104">
        <v>9</v>
      </c>
      <c r="P203" s="118">
        <f>9*N203/100</f>
        <v>1959.4061999999999</v>
      </c>
      <c r="Q203" s="112">
        <v>9</v>
      </c>
      <c r="R203" s="118">
        <f>P203</f>
        <v>1959.4061999999999</v>
      </c>
      <c r="S203" s="56"/>
      <c r="T203" s="4"/>
      <c r="U203" s="29">
        <f>P203+R203</f>
        <v>3918.8123999999998</v>
      </c>
      <c r="V203" s="4"/>
    </row>
    <row r="204" spans="2:22" x14ac:dyDescent="0.25">
      <c r="B204" s="3"/>
      <c r="M204" s="105">
        <v>998729</v>
      </c>
      <c r="N204" s="117">
        <f>I167</f>
        <v>0</v>
      </c>
      <c r="O204" s="105">
        <v>9</v>
      </c>
      <c r="P204" s="119">
        <f>9*N204/100</f>
        <v>0</v>
      </c>
      <c r="Q204" s="111">
        <v>9</v>
      </c>
      <c r="R204" s="119">
        <f>P204</f>
        <v>0</v>
      </c>
      <c r="S204" s="110"/>
      <c r="T204" s="7"/>
      <c r="U204" s="25">
        <f>P204+R204</f>
        <v>0</v>
      </c>
      <c r="V204" s="7"/>
    </row>
    <row r="205" spans="2:22" x14ac:dyDescent="0.25">
      <c r="D205" s="186" t="s">
        <v>328</v>
      </c>
      <c r="E205" s="1">
        <v>2500</v>
      </c>
      <c r="M205" s="39" t="s">
        <v>203</v>
      </c>
      <c r="N205" s="64"/>
      <c r="O205" s="64"/>
      <c r="P205" s="64"/>
      <c r="Q205" s="101"/>
      <c r="R205" s="101"/>
      <c r="S205" s="64"/>
      <c r="T205" s="64"/>
      <c r="U205" s="77">
        <f>SUM(U201:U204)</f>
        <v>4855.6831999999995</v>
      </c>
      <c r="V205" s="121"/>
    </row>
    <row r="206" spans="2:22" x14ac:dyDescent="0.25">
      <c r="M206" s="3"/>
      <c r="N206" s="3"/>
      <c r="O206" s="3"/>
      <c r="P206" s="3"/>
      <c r="Q206" s="11"/>
      <c r="R206" s="11"/>
      <c r="S206" s="3"/>
      <c r="T206" s="3"/>
      <c r="U206" s="57"/>
      <c r="V206" s="3"/>
    </row>
    <row r="208" spans="2:22" x14ac:dyDescent="0.25">
      <c r="B208" s="3"/>
    </row>
    <row r="209" spans="2:2" x14ac:dyDescent="0.25">
      <c r="B209" s="3"/>
    </row>
    <row r="210" spans="2:2" x14ac:dyDescent="0.25">
      <c r="B210" s="3"/>
    </row>
    <row r="211" spans="2:2" x14ac:dyDescent="0.25">
      <c r="B211" s="3"/>
    </row>
    <row r="212" spans="2:2" x14ac:dyDescent="0.25">
      <c r="B212" s="3"/>
    </row>
    <row r="213" spans="2:2" x14ac:dyDescent="0.25">
      <c r="B213" s="3"/>
    </row>
    <row r="214" spans="2:2" x14ac:dyDescent="0.25">
      <c r="B214" s="3"/>
    </row>
    <row r="215" spans="2:2" x14ac:dyDescent="0.25">
      <c r="B215" s="3"/>
    </row>
    <row r="216" spans="2:2" x14ac:dyDescent="0.25">
      <c r="B216" s="3"/>
    </row>
    <row r="217" spans="2:2" x14ac:dyDescent="0.25">
      <c r="B217" s="3"/>
    </row>
    <row r="218" spans="2:2" x14ac:dyDescent="0.25">
      <c r="B218" s="3"/>
    </row>
    <row r="219" spans="2:2" x14ac:dyDescent="0.25">
      <c r="B219" s="3"/>
    </row>
    <row r="220" spans="2:2" x14ac:dyDescent="0.25">
      <c r="B220" s="3"/>
    </row>
    <row r="221" spans="2:2" x14ac:dyDescent="0.25">
      <c r="B221" s="3"/>
    </row>
    <row r="222" spans="2:2" x14ac:dyDescent="0.25">
      <c r="B222" s="3"/>
    </row>
    <row r="223" spans="2:2" x14ac:dyDescent="0.25">
      <c r="B223" s="3"/>
    </row>
    <row r="224" spans="2:2" x14ac:dyDescent="0.25">
      <c r="B224" s="3"/>
    </row>
    <row r="225" spans="2:2" x14ac:dyDescent="0.25">
      <c r="B225" s="3"/>
    </row>
    <row r="226" spans="2:2" x14ac:dyDescent="0.25">
      <c r="B226" s="3"/>
    </row>
    <row r="227" spans="2:2" x14ac:dyDescent="0.25">
      <c r="B227" s="3"/>
    </row>
    <row r="228" spans="2:2" x14ac:dyDescent="0.25">
      <c r="B228" s="3"/>
    </row>
    <row r="229" spans="2:2" x14ac:dyDescent="0.25">
      <c r="B229" s="3"/>
    </row>
    <row r="230" spans="2:2" x14ac:dyDescent="0.25">
      <c r="B230" s="3"/>
    </row>
    <row r="231" spans="2:2" x14ac:dyDescent="0.25">
      <c r="B231" s="3"/>
    </row>
    <row r="232" spans="2:2" x14ac:dyDescent="0.25">
      <c r="B232" s="3"/>
    </row>
    <row r="233" spans="2:2" x14ac:dyDescent="0.25">
      <c r="B233" s="3"/>
    </row>
    <row r="234" spans="2:2" x14ac:dyDescent="0.25">
      <c r="B234" s="3"/>
    </row>
    <row r="235" spans="2:2" x14ac:dyDescent="0.25">
      <c r="B235" s="3"/>
    </row>
    <row r="236" spans="2:2" x14ac:dyDescent="0.25">
      <c r="B236" s="3"/>
    </row>
    <row r="237" spans="2:2" x14ac:dyDescent="0.25">
      <c r="B237" s="3"/>
    </row>
    <row r="238" spans="2:2" x14ac:dyDescent="0.25">
      <c r="B238" s="3"/>
    </row>
    <row r="239" spans="2:2" x14ac:dyDescent="0.25">
      <c r="B239" s="3"/>
    </row>
    <row r="240" spans="2:2" x14ac:dyDescent="0.25">
      <c r="B240" s="3"/>
    </row>
    <row r="241" spans="2:14" x14ac:dyDescent="0.25">
      <c r="B241" s="3"/>
    </row>
    <row r="242" spans="2:14" x14ac:dyDescent="0.25">
      <c r="B242" s="3"/>
    </row>
    <row r="243" spans="2:14" x14ac:dyDescent="0.25">
      <c r="B243" s="3"/>
    </row>
    <row r="244" spans="2:14" x14ac:dyDescent="0.25">
      <c r="B244" s="3"/>
    </row>
    <row r="245" spans="2:14" x14ac:dyDescent="0.25">
      <c r="B245" s="3"/>
    </row>
    <row r="246" spans="2:14" x14ac:dyDescent="0.25">
      <c r="B246" s="3"/>
    </row>
    <row r="247" spans="2:14" x14ac:dyDescent="0.25">
      <c r="B247" s="3"/>
    </row>
    <row r="248" spans="2:14" x14ac:dyDescent="0.25">
      <c r="B248" s="3"/>
    </row>
    <row r="249" spans="2:14" x14ac:dyDescent="0.25">
      <c r="B249" s="3"/>
    </row>
    <row r="250" spans="2:14" x14ac:dyDescent="0.25">
      <c r="B250" s="3"/>
    </row>
    <row r="251" spans="2:14" x14ac:dyDescent="0.25">
      <c r="N251" s="12"/>
    </row>
    <row r="252" spans="2:14" x14ac:dyDescent="0.25">
      <c r="N252" s="12"/>
    </row>
    <row r="253" spans="2:14" x14ac:dyDescent="0.25">
      <c r="N253" s="12"/>
    </row>
    <row r="254" spans="2:14" x14ac:dyDescent="0.25">
      <c r="N254" s="12"/>
    </row>
    <row r="255" spans="2:14" x14ac:dyDescent="0.25">
      <c r="N255" s="12"/>
    </row>
    <row r="256" spans="2:14" x14ac:dyDescent="0.25">
      <c r="N256" s="12"/>
    </row>
    <row r="257" spans="3:14" x14ac:dyDescent="0.25">
      <c r="N257" s="12"/>
    </row>
    <row r="258" spans="3:14" x14ac:dyDescent="0.25">
      <c r="C258" s="1" t="s">
        <v>204</v>
      </c>
      <c r="E258" s="178">
        <v>43789</v>
      </c>
      <c r="F258" s="178"/>
      <c r="N258" s="12"/>
    </row>
    <row r="259" spans="3:14" x14ac:dyDescent="0.25">
      <c r="C259" s="1" t="s">
        <v>101</v>
      </c>
      <c r="E259" s="178"/>
      <c r="F259" s="178"/>
    </row>
    <row r="260" spans="3:14" x14ac:dyDescent="0.25">
      <c r="E260" s="179"/>
      <c r="F260" s="179"/>
    </row>
    <row r="261" spans="3:14" x14ac:dyDescent="0.25">
      <c r="E261" s="177">
        <f>DAYS360(E258,E259,0)/360</f>
        <v>-119.88888888888889</v>
      </c>
      <c r="F261" s="177"/>
    </row>
    <row r="267" spans="3:14" x14ac:dyDescent="0.25">
      <c r="I267" s="180"/>
    </row>
    <row r="280" spans="4:6" x14ac:dyDescent="0.25">
      <c r="D280" s="216"/>
      <c r="E280" s="216"/>
      <c r="F280" s="216"/>
    </row>
    <row r="281" spans="4:6" x14ac:dyDescent="0.25">
      <c r="D281" s="216"/>
      <c r="E281" s="216"/>
      <c r="F281" s="216"/>
    </row>
    <row r="282" spans="4:6" x14ac:dyDescent="0.25">
      <c r="D282" s="216"/>
      <c r="E282" s="216"/>
      <c r="F282" s="216"/>
    </row>
    <row r="283" spans="4:6" x14ac:dyDescent="0.25">
      <c r="D283" s="216"/>
      <c r="E283" s="216"/>
      <c r="F283" s="216"/>
    </row>
    <row r="284" spans="4:6" x14ac:dyDescent="0.25">
      <c r="D284" s="216"/>
      <c r="E284" s="216"/>
      <c r="F284" s="216"/>
    </row>
    <row r="285" spans="4:6" x14ac:dyDescent="0.25">
      <c r="D285" s="216"/>
      <c r="E285" s="216"/>
      <c r="F285" s="216"/>
    </row>
    <row r="286" spans="4:6" x14ac:dyDescent="0.25">
      <c r="D286" s="216"/>
      <c r="E286" s="216"/>
      <c r="F286" s="216"/>
    </row>
    <row r="287" spans="4:6" x14ac:dyDescent="0.25">
      <c r="D287" s="216"/>
      <c r="E287" s="216"/>
      <c r="F287" s="216"/>
    </row>
    <row r="288" spans="4:6" x14ac:dyDescent="0.25">
      <c r="D288" s="216"/>
      <c r="E288" s="216"/>
      <c r="F288" s="216"/>
    </row>
    <row r="289" spans="4:6" x14ac:dyDescent="0.25">
      <c r="D289" s="216"/>
      <c r="E289" s="216"/>
      <c r="F289" s="216"/>
    </row>
    <row r="290" spans="4:6" x14ac:dyDescent="0.25">
      <c r="D290" s="216"/>
      <c r="E290" s="216"/>
      <c r="F290" s="216"/>
    </row>
    <row r="291" spans="4:6" ht="13.8" thickBot="1" x14ac:dyDescent="0.3">
      <c r="D291" s="204"/>
      <c r="E291" s="204"/>
      <c r="F291" s="204"/>
    </row>
    <row r="292" spans="4:6" ht="55.8" thickBot="1" x14ac:dyDescent="0.3">
      <c r="D292" s="212" t="s">
        <v>480</v>
      </c>
      <c r="E292" s="212" t="s">
        <v>479</v>
      </c>
      <c r="F292" s="204"/>
    </row>
    <row r="293" spans="4:6" ht="97.2" thickBot="1" x14ac:dyDescent="0.3">
      <c r="D293" s="212" t="s">
        <v>478</v>
      </c>
      <c r="E293" s="211"/>
      <c r="F293" s="204"/>
    </row>
    <row r="294" spans="4:6" ht="55.8" thickBot="1" x14ac:dyDescent="0.3">
      <c r="D294" s="211" t="s">
        <v>477</v>
      </c>
      <c r="E294" s="211" t="s">
        <v>476</v>
      </c>
      <c r="F294" s="204"/>
    </row>
    <row r="295" spans="4:6" ht="83.4" thickBot="1" x14ac:dyDescent="0.3">
      <c r="D295" s="211" t="s">
        <v>475</v>
      </c>
      <c r="E295" s="211" t="s">
        <v>474</v>
      </c>
      <c r="F295" s="204"/>
    </row>
    <row r="296" spans="4:6" ht="55.8" thickBot="1" x14ac:dyDescent="0.3">
      <c r="D296" s="211" t="s">
        <v>473</v>
      </c>
      <c r="E296" s="211" t="s">
        <v>472</v>
      </c>
      <c r="F296" s="204"/>
    </row>
    <row r="297" spans="4:6" ht="42" thickBot="1" x14ac:dyDescent="0.3">
      <c r="D297" s="211" t="s">
        <v>319</v>
      </c>
      <c r="E297" s="211" t="s">
        <v>471</v>
      </c>
      <c r="F297" s="204"/>
    </row>
    <row r="298" spans="4:6" ht="55.8" thickBot="1" x14ac:dyDescent="0.3">
      <c r="D298" s="211" t="s">
        <v>318</v>
      </c>
      <c r="E298" s="211" t="s">
        <v>470</v>
      </c>
      <c r="F298" s="204"/>
    </row>
    <row r="299" spans="4:6" ht="55.8" thickBot="1" x14ac:dyDescent="0.3">
      <c r="D299" s="211" t="s">
        <v>469</v>
      </c>
      <c r="E299" s="211" t="s">
        <v>372</v>
      </c>
      <c r="F299" s="204"/>
    </row>
    <row r="300" spans="4:6" ht="42" thickBot="1" x14ac:dyDescent="0.3">
      <c r="D300" s="211" t="s">
        <v>468</v>
      </c>
      <c r="E300" s="211" t="s">
        <v>467</v>
      </c>
      <c r="F300" s="204"/>
    </row>
    <row r="301" spans="4:6" ht="28.2" thickBot="1" x14ac:dyDescent="0.3">
      <c r="D301" s="211" t="s">
        <v>466</v>
      </c>
      <c r="E301" s="211" t="s">
        <v>465</v>
      </c>
      <c r="F301" s="204"/>
    </row>
    <row r="302" spans="4:6" ht="42" thickBot="1" x14ac:dyDescent="0.3">
      <c r="D302" s="211" t="s">
        <v>49</v>
      </c>
      <c r="E302" s="211" t="s">
        <v>464</v>
      </c>
      <c r="F302" s="204"/>
    </row>
    <row r="303" spans="4:6" ht="55.8" thickBot="1" x14ac:dyDescent="0.3">
      <c r="D303" s="211" t="s">
        <v>52</v>
      </c>
      <c r="E303" s="211" t="s">
        <v>453</v>
      </c>
      <c r="F303" s="204"/>
    </row>
    <row r="304" spans="4:6" ht="69.599999999999994" thickBot="1" x14ac:dyDescent="0.3">
      <c r="D304" s="211" t="s">
        <v>55</v>
      </c>
      <c r="E304" s="211" t="s">
        <v>463</v>
      </c>
      <c r="F304" s="204"/>
    </row>
    <row r="305" spans="4:6" ht="42" thickBot="1" x14ac:dyDescent="0.3">
      <c r="D305" s="211" t="s">
        <v>462</v>
      </c>
      <c r="E305" s="211" t="s">
        <v>461</v>
      </c>
      <c r="F305" s="204"/>
    </row>
    <row r="306" spans="4:6" ht="55.8" thickBot="1" x14ac:dyDescent="0.3">
      <c r="D306" s="211" t="s">
        <v>460</v>
      </c>
      <c r="E306" s="211" t="s">
        <v>459</v>
      </c>
      <c r="F306" s="204"/>
    </row>
    <row r="307" spans="4:6" ht="42" thickBot="1" x14ac:dyDescent="0.3">
      <c r="D307" s="211" t="s">
        <v>458</v>
      </c>
      <c r="E307" s="211" t="s">
        <v>457</v>
      </c>
      <c r="F307" s="204"/>
    </row>
    <row r="308" spans="4:6" ht="55.8" thickBot="1" x14ac:dyDescent="0.3">
      <c r="D308" s="211" t="s">
        <v>456</v>
      </c>
      <c r="E308" s="211" t="s">
        <v>455</v>
      </c>
      <c r="F308" s="204"/>
    </row>
    <row r="309" spans="4:6" ht="55.8" thickBot="1" x14ac:dyDescent="0.3">
      <c r="D309" s="211" t="s">
        <v>454</v>
      </c>
      <c r="E309" s="211" t="s">
        <v>453</v>
      </c>
      <c r="F309" s="204"/>
    </row>
    <row r="310" spans="4:6" ht="28.2" thickBot="1" x14ac:dyDescent="0.3">
      <c r="D310" s="211" t="s">
        <v>452</v>
      </c>
      <c r="E310" s="211" t="s">
        <v>451</v>
      </c>
      <c r="F310" s="204"/>
    </row>
    <row r="311" spans="4:6" ht="138.6" thickBot="1" x14ac:dyDescent="0.3">
      <c r="D311" s="211" t="s">
        <v>450</v>
      </c>
      <c r="E311" s="211" t="s">
        <v>372</v>
      </c>
      <c r="F311" s="204"/>
    </row>
    <row r="312" spans="4:6" ht="97.2" thickBot="1" x14ac:dyDescent="0.3">
      <c r="D312" s="211" t="s">
        <v>449</v>
      </c>
      <c r="E312" s="211" t="s">
        <v>448</v>
      </c>
      <c r="F312" s="204"/>
    </row>
    <row r="313" spans="4:6" ht="124.8" thickBot="1" x14ac:dyDescent="0.3">
      <c r="D313" s="211" t="s">
        <v>447</v>
      </c>
      <c r="E313" s="211" t="s">
        <v>446</v>
      </c>
      <c r="F313" s="204"/>
    </row>
    <row r="314" spans="4:6" ht="69.599999999999994" thickBot="1" x14ac:dyDescent="0.3">
      <c r="D314" s="211" t="s">
        <v>445</v>
      </c>
      <c r="E314" s="211" t="s">
        <v>444</v>
      </c>
      <c r="F314" s="204"/>
    </row>
    <row r="315" spans="4:6" ht="42" thickBot="1" x14ac:dyDescent="0.3">
      <c r="D315" s="211" t="s">
        <v>443</v>
      </c>
      <c r="E315" s="211" t="s">
        <v>442</v>
      </c>
      <c r="F315" s="204"/>
    </row>
    <row r="316" spans="4:6" ht="42" thickBot="1" x14ac:dyDescent="0.3">
      <c r="D316" s="211" t="s">
        <v>441</v>
      </c>
      <c r="E316" s="214">
        <v>46305</v>
      </c>
      <c r="F316" s="204"/>
    </row>
    <row r="317" spans="4:6" ht="97.2" thickBot="1" x14ac:dyDescent="0.3">
      <c r="D317" s="212" t="s">
        <v>440</v>
      </c>
      <c r="E317" s="211"/>
      <c r="F317" s="204"/>
    </row>
    <row r="318" spans="4:6" ht="97.2" thickBot="1" x14ac:dyDescent="0.3">
      <c r="D318" s="211" t="s">
        <v>439</v>
      </c>
      <c r="E318" s="211" t="s">
        <v>367</v>
      </c>
      <c r="F318" s="204"/>
    </row>
    <row r="319" spans="4:6" ht="111" thickBot="1" x14ac:dyDescent="0.3">
      <c r="D319" s="211" t="s">
        <v>438</v>
      </c>
      <c r="E319" s="211" t="s">
        <v>437</v>
      </c>
      <c r="F319" s="204"/>
    </row>
    <row r="320" spans="4:6" ht="55.8" thickBot="1" x14ac:dyDescent="0.3">
      <c r="D320" s="211" t="s">
        <v>436</v>
      </c>
      <c r="E320" s="211" t="s">
        <v>435</v>
      </c>
      <c r="F320" s="204"/>
    </row>
    <row r="321" spans="4:6" ht="42" thickBot="1" x14ac:dyDescent="0.3">
      <c r="D321" s="211" t="s">
        <v>434</v>
      </c>
      <c r="E321" s="214">
        <v>34982</v>
      </c>
      <c r="F321" s="204"/>
    </row>
    <row r="322" spans="4:6" ht="28.2" thickBot="1" x14ac:dyDescent="0.3">
      <c r="D322" s="211" t="s">
        <v>433</v>
      </c>
      <c r="E322" s="211" t="s">
        <v>401</v>
      </c>
      <c r="F322" s="204"/>
    </row>
    <row r="323" spans="4:6" ht="28.2" thickBot="1" x14ac:dyDescent="0.3">
      <c r="D323" s="211" t="s">
        <v>432</v>
      </c>
      <c r="E323" s="211">
        <v>41</v>
      </c>
      <c r="F323" s="204"/>
    </row>
    <row r="324" spans="4:6" ht="69.599999999999994" thickBot="1" x14ac:dyDescent="0.3">
      <c r="D324" s="211" t="s">
        <v>431</v>
      </c>
      <c r="E324" s="211" t="s">
        <v>372</v>
      </c>
      <c r="F324" s="204"/>
    </row>
    <row r="325" spans="4:6" ht="69.599999999999994" thickBot="1" x14ac:dyDescent="0.3">
      <c r="D325" s="211" t="s">
        <v>430</v>
      </c>
      <c r="E325" s="211" t="s">
        <v>429</v>
      </c>
      <c r="F325" s="204"/>
    </row>
    <row r="326" spans="4:6" ht="83.4" thickBot="1" x14ac:dyDescent="0.3">
      <c r="D326" s="211" t="s">
        <v>428</v>
      </c>
      <c r="E326" s="211" t="s">
        <v>427</v>
      </c>
      <c r="F326" s="204"/>
    </row>
    <row r="327" spans="4:6" ht="83.4" thickBot="1" x14ac:dyDescent="0.3">
      <c r="D327" s="211" t="s">
        <v>426</v>
      </c>
      <c r="E327" s="211" t="s">
        <v>425</v>
      </c>
      <c r="F327" s="204"/>
    </row>
    <row r="328" spans="4:6" ht="83.4" thickBot="1" x14ac:dyDescent="0.3">
      <c r="D328" s="211" t="s">
        <v>424</v>
      </c>
      <c r="E328" s="211" t="s">
        <v>423</v>
      </c>
      <c r="F328" s="204"/>
    </row>
    <row r="329" spans="4:6" ht="42" thickBot="1" x14ac:dyDescent="0.3">
      <c r="D329" s="211" t="s">
        <v>422</v>
      </c>
      <c r="E329" s="211">
        <v>125</v>
      </c>
      <c r="F329" s="204"/>
    </row>
    <row r="330" spans="4:6" ht="83.4" thickBot="1" x14ac:dyDescent="0.3">
      <c r="D330" s="212" t="s">
        <v>421</v>
      </c>
      <c r="E330" s="211"/>
      <c r="F330" s="204"/>
    </row>
    <row r="331" spans="4:6" ht="42" thickBot="1" x14ac:dyDescent="0.3">
      <c r="D331" s="211" t="s">
        <v>420</v>
      </c>
      <c r="E331" s="211" t="s">
        <v>419</v>
      </c>
      <c r="F331" s="204"/>
    </row>
    <row r="332" spans="4:6" ht="28.2" thickBot="1" x14ac:dyDescent="0.3">
      <c r="D332" s="211" t="s">
        <v>418</v>
      </c>
      <c r="E332" s="211" t="s">
        <v>417</v>
      </c>
      <c r="F332" s="204"/>
    </row>
    <row r="333" spans="4:6" ht="69.599999999999994" thickBot="1" x14ac:dyDescent="0.3">
      <c r="D333" s="211" t="s">
        <v>416</v>
      </c>
      <c r="E333" s="211" t="s">
        <v>415</v>
      </c>
      <c r="F333" s="204"/>
    </row>
    <row r="334" spans="4:6" ht="42" thickBot="1" x14ac:dyDescent="0.3">
      <c r="D334" s="211" t="s">
        <v>414</v>
      </c>
      <c r="E334" s="211" t="s">
        <v>413</v>
      </c>
      <c r="F334" s="204"/>
    </row>
    <row r="335" spans="4:6" ht="55.8" thickBot="1" x14ac:dyDescent="0.3">
      <c r="D335" s="211" t="s">
        <v>412</v>
      </c>
      <c r="E335" s="211" t="s">
        <v>411</v>
      </c>
      <c r="F335" s="204"/>
    </row>
    <row r="336" spans="4:6" ht="55.8" thickBot="1" x14ac:dyDescent="0.3">
      <c r="D336" s="211" t="s">
        <v>410</v>
      </c>
      <c r="E336" s="211" t="s">
        <v>409</v>
      </c>
      <c r="F336" s="204"/>
    </row>
    <row r="337" spans="4:6" ht="42" thickBot="1" x14ac:dyDescent="0.3">
      <c r="D337" s="211" t="s">
        <v>408</v>
      </c>
      <c r="E337" s="211" t="s">
        <v>407</v>
      </c>
      <c r="F337" s="204"/>
    </row>
    <row r="338" spans="4:6" ht="111" thickBot="1" x14ac:dyDescent="0.3">
      <c r="D338" s="211" t="s">
        <v>307</v>
      </c>
      <c r="E338" s="211" t="s">
        <v>406</v>
      </c>
      <c r="F338" s="204"/>
    </row>
    <row r="339" spans="4:6" ht="111" thickBot="1" x14ac:dyDescent="0.3">
      <c r="D339" s="212" t="s">
        <v>405</v>
      </c>
      <c r="E339" s="211"/>
      <c r="F339" s="204"/>
    </row>
    <row r="340" spans="4:6" ht="83.4" thickBot="1" x14ac:dyDescent="0.3">
      <c r="D340" s="211" t="s">
        <v>404</v>
      </c>
      <c r="E340" s="211" t="s">
        <v>403</v>
      </c>
      <c r="F340" s="204"/>
    </row>
    <row r="341" spans="4:6" ht="42" thickBot="1" x14ac:dyDescent="0.3">
      <c r="D341" s="211" t="s">
        <v>402</v>
      </c>
      <c r="E341" s="211" t="s">
        <v>401</v>
      </c>
      <c r="F341" s="204"/>
    </row>
    <row r="342" spans="4:6" ht="42" thickBot="1" x14ac:dyDescent="0.3">
      <c r="D342" s="211" t="s">
        <v>400</v>
      </c>
      <c r="E342" s="211" t="s">
        <v>399</v>
      </c>
      <c r="F342" s="204"/>
    </row>
    <row r="343" spans="4:6" ht="28.2" thickBot="1" x14ac:dyDescent="0.3">
      <c r="D343" s="211" t="s">
        <v>398</v>
      </c>
      <c r="E343" s="211" t="s">
        <v>397</v>
      </c>
      <c r="F343" s="204"/>
    </row>
    <row r="344" spans="4:6" ht="42" thickBot="1" x14ac:dyDescent="0.3">
      <c r="D344" s="211" t="s">
        <v>396</v>
      </c>
      <c r="E344" s="211" t="s">
        <v>395</v>
      </c>
      <c r="F344" s="204"/>
    </row>
    <row r="345" spans="4:6" ht="69.599999999999994" thickBot="1" x14ac:dyDescent="0.3">
      <c r="D345" s="211" t="s">
        <v>394</v>
      </c>
      <c r="E345" s="211" t="s">
        <v>393</v>
      </c>
      <c r="F345" s="204"/>
    </row>
    <row r="346" spans="4:6" ht="83.4" thickBot="1" x14ac:dyDescent="0.3">
      <c r="D346" s="211" t="s">
        <v>392</v>
      </c>
      <c r="E346" s="211" t="s">
        <v>391</v>
      </c>
      <c r="F346" s="204"/>
    </row>
    <row r="347" spans="4:6" ht="55.8" thickBot="1" x14ac:dyDescent="0.3">
      <c r="D347" s="211" t="s">
        <v>390</v>
      </c>
      <c r="E347" s="211">
        <v>12345678901</v>
      </c>
      <c r="F347" s="204"/>
    </row>
    <row r="348" spans="4:6" ht="83.4" thickBot="1" x14ac:dyDescent="0.3">
      <c r="D348" s="211" t="s">
        <v>389</v>
      </c>
      <c r="E348" s="211">
        <v>12345678901</v>
      </c>
      <c r="F348" s="204"/>
    </row>
    <row r="349" spans="4:6" ht="42" thickBot="1" x14ac:dyDescent="0.3">
      <c r="D349" s="211" t="s">
        <v>388</v>
      </c>
      <c r="E349" s="211" t="s">
        <v>387</v>
      </c>
      <c r="F349" s="204"/>
    </row>
    <row r="350" spans="4:6" ht="69.599999999999994" thickBot="1" x14ac:dyDescent="0.3">
      <c r="D350" s="211" t="s">
        <v>386</v>
      </c>
      <c r="E350" s="211" t="s">
        <v>385</v>
      </c>
      <c r="F350" s="204"/>
    </row>
    <row r="351" spans="4:6" ht="152.4" thickBot="1" x14ac:dyDescent="0.3">
      <c r="D351" s="212" t="s">
        <v>384</v>
      </c>
      <c r="E351" s="211"/>
      <c r="F351" s="204"/>
    </row>
    <row r="352" spans="4:6" ht="55.8" thickBot="1" x14ac:dyDescent="0.3">
      <c r="D352" s="211" t="s">
        <v>383</v>
      </c>
      <c r="E352" s="211" t="s">
        <v>382</v>
      </c>
      <c r="F352" s="204"/>
    </row>
    <row r="353" spans="4:6" ht="55.8" thickBot="1" x14ac:dyDescent="0.3">
      <c r="D353" s="211" t="s">
        <v>381</v>
      </c>
      <c r="E353" s="211" t="s">
        <v>380</v>
      </c>
      <c r="F353" s="204"/>
    </row>
    <row r="354" spans="4:6" ht="55.8" thickBot="1" x14ac:dyDescent="0.3">
      <c r="D354" s="211" t="s">
        <v>379</v>
      </c>
      <c r="E354" s="215">
        <v>0.4375</v>
      </c>
      <c r="F354" s="204"/>
    </row>
    <row r="355" spans="4:6" ht="69.599999999999994" thickBot="1" x14ac:dyDescent="0.3">
      <c r="D355" s="211" t="s">
        <v>378</v>
      </c>
      <c r="E355" s="211">
        <v>1</v>
      </c>
      <c r="F355" s="204"/>
    </row>
    <row r="356" spans="4:6" ht="111" thickBot="1" x14ac:dyDescent="0.3">
      <c r="D356" s="211" t="s">
        <v>377</v>
      </c>
      <c r="E356" s="211" t="s">
        <v>372</v>
      </c>
      <c r="F356" s="204"/>
    </row>
    <row r="357" spans="4:6" ht="42" thickBot="1" x14ac:dyDescent="0.3">
      <c r="D357" s="211" t="s">
        <v>376</v>
      </c>
      <c r="E357" s="211" t="s">
        <v>372</v>
      </c>
      <c r="F357" s="204"/>
    </row>
    <row r="358" spans="4:6" ht="55.8" thickBot="1" x14ac:dyDescent="0.3">
      <c r="D358" s="211" t="s">
        <v>375</v>
      </c>
      <c r="E358" s="214">
        <v>46147</v>
      </c>
      <c r="F358" s="204"/>
    </row>
    <row r="359" spans="4:6" ht="69.599999999999994" thickBot="1" x14ac:dyDescent="0.3">
      <c r="D359" s="211" t="s">
        <v>374</v>
      </c>
      <c r="E359" s="211" t="s">
        <v>373</v>
      </c>
      <c r="F359" s="204"/>
    </row>
    <row r="360" spans="4:6" ht="55.8" thickBot="1" x14ac:dyDescent="0.3">
      <c r="D360" s="211" t="s">
        <v>339</v>
      </c>
      <c r="E360" s="211" t="s">
        <v>372</v>
      </c>
      <c r="F360" s="204"/>
    </row>
    <row r="361" spans="4:6" ht="111" thickBot="1" x14ac:dyDescent="0.3">
      <c r="D361" s="211" t="s">
        <v>371</v>
      </c>
      <c r="E361" s="211" t="s">
        <v>367</v>
      </c>
      <c r="F361" s="204"/>
    </row>
    <row r="362" spans="4:6" ht="42" thickBot="1" x14ac:dyDescent="0.3">
      <c r="D362" s="211" t="s">
        <v>370</v>
      </c>
      <c r="E362" s="211" t="s">
        <v>369</v>
      </c>
      <c r="F362" s="204"/>
    </row>
    <row r="363" spans="4:6" ht="83.4" thickBot="1" x14ac:dyDescent="0.3">
      <c r="D363" s="211" t="s">
        <v>368</v>
      </c>
      <c r="E363" s="211" t="s">
        <v>367</v>
      </c>
      <c r="F363" s="204"/>
    </row>
    <row r="364" spans="4:6" ht="97.2" thickBot="1" x14ac:dyDescent="0.3">
      <c r="D364" s="212" t="s">
        <v>366</v>
      </c>
      <c r="E364" s="211"/>
      <c r="F364" s="204"/>
    </row>
    <row r="365" spans="4:6" ht="97.2" thickBot="1" x14ac:dyDescent="0.3">
      <c r="D365" s="211" t="s">
        <v>365</v>
      </c>
      <c r="E365" s="213">
        <v>12500</v>
      </c>
      <c r="F365" s="204"/>
    </row>
    <row r="366" spans="4:6" ht="97.2" thickBot="1" x14ac:dyDescent="0.3">
      <c r="D366" s="211" t="s">
        <v>364</v>
      </c>
      <c r="E366" s="211">
        <v>0</v>
      </c>
      <c r="F366" s="204"/>
    </row>
    <row r="367" spans="4:6" ht="69.599999999999994" thickBot="1" x14ac:dyDescent="0.3">
      <c r="D367" s="211" t="s">
        <v>363</v>
      </c>
      <c r="E367" s="213">
        <v>1200</v>
      </c>
      <c r="F367" s="204"/>
    </row>
    <row r="368" spans="4:6" ht="69.599999999999994" thickBot="1" x14ac:dyDescent="0.3">
      <c r="D368" s="211" t="s">
        <v>362</v>
      </c>
      <c r="E368" s="211">
        <v>0</v>
      </c>
      <c r="F368" s="204"/>
    </row>
    <row r="369" spans="4:6" ht="97.2" thickBot="1" x14ac:dyDescent="0.3">
      <c r="D369" s="212" t="s">
        <v>361</v>
      </c>
      <c r="E369" s="211"/>
      <c r="F369" s="204"/>
    </row>
    <row r="370" spans="4:6" ht="42" thickBot="1" x14ac:dyDescent="0.3">
      <c r="D370" s="211" t="s">
        <v>360</v>
      </c>
      <c r="E370" s="211">
        <v>500</v>
      </c>
      <c r="F370" s="204"/>
    </row>
    <row r="371" spans="4:6" ht="111" thickBot="1" x14ac:dyDescent="0.3">
      <c r="D371" s="211" t="s">
        <v>359</v>
      </c>
      <c r="E371" s="211" t="s">
        <v>358</v>
      </c>
      <c r="F371" s="204"/>
    </row>
    <row r="372" spans="4:6" ht="69.599999999999994" thickBot="1" x14ac:dyDescent="0.3">
      <c r="D372" s="211" t="s">
        <v>357</v>
      </c>
      <c r="E372" s="213">
        <v>1000</v>
      </c>
      <c r="F372" s="204"/>
    </row>
    <row r="373" spans="4:6" ht="69.599999999999994" thickBot="1" x14ac:dyDescent="0.3">
      <c r="D373" s="211" t="s">
        <v>356</v>
      </c>
      <c r="E373" s="211">
        <v>0</v>
      </c>
      <c r="F373" s="204"/>
    </row>
    <row r="374" spans="4:6" ht="69.599999999999994" thickBot="1" x14ac:dyDescent="0.3">
      <c r="D374" s="211" t="s">
        <v>355</v>
      </c>
      <c r="E374" s="211">
        <v>0</v>
      </c>
      <c r="F374" s="204"/>
    </row>
    <row r="375" spans="4:6" ht="111" thickBot="1" x14ac:dyDescent="0.3">
      <c r="D375" s="211" t="s">
        <v>354</v>
      </c>
      <c r="E375" s="213">
        <v>1000</v>
      </c>
      <c r="F375" s="204"/>
    </row>
    <row r="376" spans="4:6" ht="69.599999999999994" thickBot="1" x14ac:dyDescent="0.3">
      <c r="D376" s="212" t="s">
        <v>353</v>
      </c>
      <c r="E376" s="211"/>
      <c r="F376" s="204"/>
    </row>
    <row r="377" spans="4:6" ht="55.8" thickBot="1" x14ac:dyDescent="0.3">
      <c r="D377" s="211" t="s">
        <v>352</v>
      </c>
      <c r="E377" s="211" t="s">
        <v>351</v>
      </c>
      <c r="F377" s="204"/>
    </row>
    <row r="378" spans="4:6" x14ac:dyDescent="0.25">
      <c r="D378" s="204"/>
      <c r="E378" s="204"/>
      <c r="F378" s="204"/>
    </row>
    <row r="379" spans="4:6" x14ac:dyDescent="0.25">
      <c r="D379" s="204"/>
      <c r="E379" s="204"/>
      <c r="F379" s="204"/>
    </row>
    <row r="380" spans="4:6" x14ac:dyDescent="0.25">
      <c r="D380" s="204" t="s">
        <v>350</v>
      </c>
      <c r="E380" s="210" t="s">
        <v>349</v>
      </c>
      <c r="F380" s="204"/>
    </row>
    <row r="381" spans="4:6" x14ac:dyDescent="0.25">
      <c r="D381" s="204" t="s">
        <v>348</v>
      </c>
      <c r="E381" s="207">
        <v>46148</v>
      </c>
      <c r="F381" s="204"/>
    </row>
    <row r="382" spans="4:6" x14ac:dyDescent="0.25">
      <c r="D382" s="204" t="s">
        <v>347</v>
      </c>
      <c r="E382" s="209">
        <v>0.35416666666666669</v>
      </c>
      <c r="F382" s="204"/>
    </row>
    <row r="383" spans="4:6" x14ac:dyDescent="0.25">
      <c r="D383" s="204" t="s">
        <v>346</v>
      </c>
      <c r="E383" s="204" t="s">
        <v>330</v>
      </c>
      <c r="F383" s="204"/>
    </row>
    <row r="384" spans="4:6" x14ac:dyDescent="0.25">
      <c r="D384" s="204" t="s">
        <v>345</v>
      </c>
      <c r="E384" s="204" t="s">
        <v>344</v>
      </c>
      <c r="F384" s="204"/>
    </row>
    <row r="385" spans="4:6" x14ac:dyDescent="0.25">
      <c r="D385" s="204" t="s">
        <v>343</v>
      </c>
      <c r="E385" s="204">
        <v>5454545544</v>
      </c>
      <c r="F385" s="204"/>
    </row>
    <row r="386" spans="4:6" x14ac:dyDescent="0.25">
      <c r="D386" s="204" t="s">
        <v>342</v>
      </c>
      <c r="E386" s="208" t="s">
        <v>341</v>
      </c>
      <c r="F386" s="204"/>
    </row>
    <row r="387" spans="4:6" x14ac:dyDescent="0.25">
      <c r="D387" s="204" t="s">
        <v>340</v>
      </c>
      <c r="E387" s="207">
        <v>46305</v>
      </c>
      <c r="F387" s="204"/>
    </row>
    <row r="388" spans="4:6" x14ac:dyDescent="0.25">
      <c r="D388" s="204" t="s">
        <v>339</v>
      </c>
      <c r="E388" s="204">
        <v>656</v>
      </c>
      <c r="F388" s="204"/>
    </row>
    <row r="389" spans="4:6" x14ac:dyDescent="0.25">
      <c r="D389" s="204"/>
      <c r="E389" s="204"/>
      <c r="F389" s="204"/>
    </row>
    <row r="390" spans="4:6" x14ac:dyDescent="0.25">
      <c r="D390" s="204" t="s">
        <v>338</v>
      </c>
      <c r="E390" s="204">
        <v>123456</v>
      </c>
      <c r="F390" s="204"/>
    </row>
    <row r="391" spans="4:6" x14ac:dyDescent="0.25">
      <c r="D391" s="204"/>
      <c r="E391" s="204"/>
      <c r="F391" s="204"/>
    </row>
    <row r="392" spans="4:6" x14ac:dyDescent="0.25">
      <c r="D392" s="204" t="s">
        <v>337</v>
      </c>
      <c r="E392" s="204"/>
      <c r="F392" s="204"/>
    </row>
    <row r="393" spans="4:6" x14ac:dyDescent="0.25">
      <c r="D393" s="204"/>
      <c r="E393" s="204"/>
      <c r="F393" s="204"/>
    </row>
    <row r="394" spans="4:6" x14ac:dyDescent="0.25">
      <c r="D394" s="204" t="s">
        <v>336</v>
      </c>
      <c r="E394" s="204">
        <v>999</v>
      </c>
      <c r="F394" s="204"/>
    </row>
    <row r="395" spans="4:6" x14ac:dyDescent="0.25">
      <c r="D395" s="204" t="s">
        <v>335</v>
      </c>
      <c r="E395" s="204">
        <v>1000</v>
      </c>
      <c r="F395" s="204"/>
    </row>
    <row r="396" spans="4:6" x14ac:dyDescent="0.25">
      <c r="D396" s="206" t="s">
        <v>334</v>
      </c>
      <c r="E396" s="204">
        <v>1500</v>
      </c>
      <c r="F396" s="204"/>
    </row>
    <row r="397" spans="4:6" x14ac:dyDescent="0.25">
      <c r="D397" s="204"/>
      <c r="E397" s="204"/>
      <c r="F397" s="204"/>
    </row>
    <row r="398" spans="4:6" x14ac:dyDescent="0.25">
      <c r="D398" s="204"/>
      <c r="E398" s="205"/>
      <c r="F398" s="204"/>
    </row>
    <row r="399" spans="4:6" x14ac:dyDescent="0.25">
      <c r="D399" s="204"/>
      <c r="E399" s="204"/>
      <c r="F399" s="204"/>
    </row>
    <row r="400" spans="4:6" x14ac:dyDescent="0.25">
      <c r="D400" s="204"/>
      <c r="E400" s="204"/>
      <c r="F400" s="204"/>
    </row>
    <row r="401" spans="4:6" x14ac:dyDescent="0.25">
      <c r="D401" s="204"/>
      <c r="E401" s="204"/>
      <c r="F401" s="204"/>
    </row>
    <row r="402" spans="4:6" x14ac:dyDescent="0.25">
      <c r="D402" s="204"/>
      <c r="E402" s="204"/>
      <c r="F402" s="204"/>
    </row>
    <row r="403" spans="4:6" x14ac:dyDescent="0.25">
      <c r="D403" s="204"/>
      <c r="E403" s="204"/>
      <c r="F403" s="204"/>
    </row>
  </sheetData>
  <mergeCells count="14">
    <mergeCell ref="B11:K11"/>
    <mergeCell ref="Q199:R199"/>
    <mergeCell ref="B183:K183"/>
    <mergeCell ref="U199:V200"/>
    <mergeCell ref="G28:H28"/>
    <mergeCell ref="C78:K78"/>
    <mergeCell ref="O199:P199"/>
    <mergeCell ref="I28:J28"/>
    <mergeCell ref="S199:T199"/>
    <mergeCell ref="G29:H29"/>
    <mergeCell ref="I30:J30"/>
    <mergeCell ref="I29:J29"/>
    <mergeCell ref="C81:K81"/>
    <mergeCell ref="G30:H30"/>
  </mergeCells>
  <conditionalFormatting sqref="E261:F261">
    <cfRule type="expression" priority="1" stopIfTrue="1">
      <formula>DAYS360(E258,E259,0)/360</formula>
    </cfRule>
  </conditionalFormatting>
  <hyperlinks>
    <hyperlink ref="E386" r:id="rId1" xr:uid="{AEACE7F2-27EA-40A7-8A0B-B1357D98596C}"/>
  </hyperlinks>
  <printOptions horizontalCentered="1"/>
  <pageMargins left="0.25" right="0.25" top="0.5" bottom="0.5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opLeftCell="A5" workbookViewId="0">
      <selection activeCell="B48" sqref="B48"/>
    </sheetView>
  </sheetViews>
  <sheetFormatPr defaultRowHeight="12" x14ac:dyDescent="0.25"/>
  <sheetData>
    <row r="1" spans="1:12" x14ac:dyDescent="0.25">
      <c r="A1" s="88"/>
      <c r="B1" s="89"/>
      <c r="C1" s="89"/>
      <c r="D1" s="89"/>
      <c r="E1" s="89"/>
      <c r="F1" s="89"/>
      <c r="G1" s="89"/>
      <c r="H1" s="89"/>
      <c r="I1" s="89"/>
      <c r="J1" s="89"/>
      <c r="K1" s="89"/>
      <c r="L1" s="90"/>
    </row>
    <row r="2" spans="1:12" x14ac:dyDescent="0.25">
      <c r="A2" s="91"/>
      <c r="L2" s="92"/>
    </row>
    <row r="3" spans="1:12" ht="17.399999999999999" x14ac:dyDescent="0.3">
      <c r="A3" s="91"/>
      <c r="B3" s="1"/>
      <c r="C3" s="1"/>
      <c r="D3" s="1"/>
      <c r="E3" s="1"/>
      <c r="F3" s="1"/>
      <c r="G3" s="61" t="s">
        <v>205</v>
      </c>
      <c r="H3" s="1"/>
      <c r="I3" s="1"/>
      <c r="L3" s="92"/>
    </row>
    <row r="4" spans="1:12" ht="13.2" x14ac:dyDescent="0.25">
      <c r="A4" s="91"/>
      <c r="B4" s="1"/>
      <c r="C4" s="1"/>
      <c r="D4" s="1"/>
      <c r="E4" s="1"/>
      <c r="F4" s="1"/>
      <c r="G4" s="1"/>
      <c r="H4" s="1"/>
      <c r="I4" s="1"/>
      <c r="L4" s="92"/>
    </row>
    <row r="5" spans="1:12" ht="13.2" x14ac:dyDescent="0.25">
      <c r="A5" s="91"/>
      <c r="B5" s="1"/>
      <c r="C5" s="1"/>
      <c r="D5" s="1"/>
      <c r="E5" s="1"/>
      <c r="F5" s="1"/>
      <c r="G5" s="1"/>
      <c r="H5" s="1"/>
      <c r="I5" s="1"/>
      <c r="L5" s="92"/>
    </row>
    <row r="6" spans="1:12" ht="16.5" customHeight="1" x14ac:dyDescent="0.3">
      <c r="A6" s="91"/>
      <c r="B6" s="50" t="s">
        <v>206</v>
      </c>
      <c r="C6" s="52"/>
      <c r="D6" s="51"/>
      <c r="E6" s="1"/>
      <c r="F6" s="51" t="str">
        <f>Sheet1!G13</f>
        <v>NA</v>
      </c>
      <c r="G6" s="51"/>
      <c r="H6" s="1"/>
      <c r="I6" s="1"/>
      <c r="L6" s="92"/>
    </row>
    <row r="7" spans="1:12" ht="33.75" customHeight="1" x14ac:dyDescent="0.3">
      <c r="A7" s="91"/>
      <c r="B7" s="148" t="s">
        <v>18</v>
      </c>
      <c r="C7" s="52"/>
      <c r="D7" s="51"/>
      <c r="E7" s="1"/>
      <c r="F7" s="200">
        <f>Sheet1!G14</f>
        <v>0</v>
      </c>
      <c r="G7" s="201"/>
      <c r="H7" s="201"/>
      <c r="I7" s="201"/>
      <c r="J7" s="201"/>
      <c r="K7" s="201"/>
      <c r="L7" s="92"/>
    </row>
    <row r="8" spans="1:12" ht="15.6" x14ac:dyDescent="0.3">
      <c r="A8" s="91"/>
      <c r="B8" s="51"/>
      <c r="C8" s="52"/>
      <c r="D8" s="51"/>
      <c r="E8" s="1"/>
      <c r="F8" s="1">
        <f>Sheet1!G15</f>
        <v>0</v>
      </c>
      <c r="G8" s="51"/>
      <c r="H8" s="1"/>
      <c r="I8" s="1"/>
      <c r="L8" s="92"/>
    </row>
    <row r="9" spans="1:12" ht="15.6" x14ac:dyDescent="0.3">
      <c r="A9" s="91"/>
      <c r="B9" s="50"/>
      <c r="C9" s="52"/>
      <c r="D9" s="51"/>
      <c r="E9" s="1"/>
      <c r="F9" s="51"/>
      <c r="G9" s="51"/>
      <c r="H9" s="1"/>
      <c r="I9" s="1"/>
      <c r="L9" s="92"/>
    </row>
    <row r="10" spans="1:12" ht="15.6" x14ac:dyDescent="0.3">
      <c r="A10" s="91"/>
      <c r="B10" s="50" t="s">
        <v>23</v>
      </c>
      <c r="C10" s="52"/>
      <c r="D10" s="51"/>
      <c r="E10" s="1"/>
      <c r="F10" s="51" t="str">
        <f>Sheet1!G18</f>
        <v>NA</v>
      </c>
      <c r="G10" s="51"/>
      <c r="H10" s="1"/>
      <c r="I10" s="1"/>
      <c r="L10" s="92"/>
    </row>
    <row r="11" spans="1:12" ht="15.6" x14ac:dyDescent="0.3">
      <c r="A11" s="91"/>
      <c r="B11" s="50"/>
      <c r="C11" s="52"/>
      <c r="D11" s="51"/>
      <c r="E11" s="1"/>
      <c r="F11" s="51"/>
      <c r="G11" s="51"/>
      <c r="H11" s="1"/>
      <c r="I11" s="1"/>
      <c r="L11" s="92"/>
    </row>
    <row r="12" spans="1:12" ht="15.6" x14ac:dyDescent="0.3">
      <c r="A12" s="91"/>
      <c r="B12" s="50" t="s">
        <v>207</v>
      </c>
      <c r="C12" s="52"/>
      <c r="D12" s="51"/>
      <c r="E12" s="1"/>
      <c r="F12" s="50" t="str">
        <f>Sheet1!G25</f>
        <v>HR49H9873</v>
      </c>
      <c r="G12" s="51"/>
      <c r="H12" s="1"/>
      <c r="I12" s="1"/>
      <c r="L12" s="92"/>
    </row>
    <row r="13" spans="1:12" ht="15.6" x14ac:dyDescent="0.3">
      <c r="A13" s="91"/>
      <c r="B13" s="50"/>
      <c r="C13" s="51"/>
      <c r="D13" s="51"/>
      <c r="E13" s="1"/>
      <c r="F13" s="51"/>
      <c r="G13" s="51"/>
      <c r="H13" s="1"/>
      <c r="I13" s="1"/>
      <c r="L13" s="92"/>
    </row>
    <row r="14" spans="1:12" ht="15.6" x14ac:dyDescent="0.3">
      <c r="A14" s="91"/>
      <c r="B14" s="50" t="s">
        <v>208</v>
      </c>
      <c r="C14" s="51"/>
      <c r="D14" s="51"/>
      <c r="E14" s="1"/>
      <c r="F14" s="53" t="str">
        <f>Sheet1!G16</f>
        <v>NA</v>
      </c>
      <c r="G14" s="51"/>
      <c r="H14" s="1"/>
      <c r="I14" s="1"/>
      <c r="L14" s="92"/>
    </row>
    <row r="15" spans="1:12" ht="15.6" x14ac:dyDescent="0.3">
      <c r="A15" s="91"/>
      <c r="B15" s="50"/>
      <c r="C15" s="51"/>
      <c r="D15" s="51"/>
      <c r="E15" s="1"/>
      <c r="F15" s="51"/>
      <c r="G15" s="51"/>
      <c r="H15" s="1"/>
      <c r="I15" s="1"/>
      <c r="L15" s="92"/>
    </row>
    <row r="16" spans="1:12" ht="15.6" x14ac:dyDescent="0.3">
      <c r="A16" s="91"/>
      <c r="B16" s="50" t="s">
        <v>209</v>
      </c>
      <c r="C16" s="52"/>
      <c r="D16" s="51"/>
      <c r="E16" s="1"/>
      <c r="F16" s="51" t="str">
        <f>Sheet1!K16</f>
        <v>NA</v>
      </c>
      <c r="G16" s="51"/>
      <c r="H16" s="1"/>
      <c r="I16" s="1"/>
      <c r="L16" s="92"/>
    </row>
    <row r="17" spans="1:12" ht="15.6" x14ac:dyDescent="0.3">
      <c r="A17" s="91"/>
      <c r="B17" s="51"/>
      <c r="C17" s="52"/>
      <c r="D17" s="51"/>
      <c r="E17" s="1"/>
      <c r="F17" s="51"/>
      <c r="G17" s="51"/>
      <c r="H17" s="1"/>
      <c r="I17" s="1"/>
      <c r="L17" s="92"/>
    </row>
    <row r="18" spans="1:12" ht="15.6" x14ac:dyDescent="0.3">
      <c r="A18" s="91"/>
      <c r="B18" s="50" t="s">
        <v>210</v>
      </c>
      <c r="C18" s="52"/>
      <c r="D18" s="51"/>
      <c r="E18" s="1"/>
      <c r="F18" s="181" t="str">
        <f>Sheet1!G57</f>
        <v>NA</v>
      </c>
      <c r="G18" s="51"/>
      <c r="H18" s="1"/>
      <c r="I18" s="1"/>
      <c r="L18" s="92"/>
    </row>
    <row r="19" spans="1:12" ht="15.6" x14ac:dyDescent="0.3">
      <c r="A19" s="91"/>
      <c r="B19" s="51"/>
      <c r="C19" s="51"/>
      <c r="D19" s="51"/>
      <c r="E19" s="51"/>
      <c r="F19" s="51"/>
      <c r="G19" s="51"/>
      <c r="H19" s="1"/>
      <c r="I19" s="1"/>
      <c r="L19" s="92"/>
    </row>
    <row r="20" spans="1:12" ht="13.2" x14ac:dyDescent="0.25">
      <c r="A20" s="91"/>
      <c r="B20" s="1"/>
      <c r="C20" s="1"/>
      <c r="D20" s="1"/>
      <c r="E20" s="1"/>
      <c r="F20" s="1"/>
      <c r="G20" s="1"/>
      <c r="H20" s="1"/>
      <c r="I20" s="1"/>
      <c r="L20" s="92"/>
    </row>
    <row r="21" spans="1:12" ht="13.2" x14ac:dyDescent="0.25">
      <c r="A21" s="91"/>
      <c r="B21" s="1"/>
      <c r="C21" s="1"/>
      <c r="D21" s="1"/>
      <c r="E21" s="1"/>
      <c r="F21" s="1"/>
      <c r="G21" s="1"/>
      <c r="H21" s="1"/>
      <c r="I21" s="1"/>
      <c r="L21" s="92"/>
    </row>
    <row r="22" spans="1:12" ht="13.2" x14ac:dyDescent="0.25">
      <c r="A22" s="91"/>
      <c r="B22" s="1"/>
      <c r="C22" s="1"/>
      <c r="D22" s="1"/>
      <c r="E22" s="1"/>
      <c r="F22" s="1"/>
      <c r="G22" s="1"/>
      <c r="H22" s="1"/>
      <c r="I22" s="1"/>
      <c r="L22" s="92"/>
    </row>
    <row r="23" spans="1:12" ht="13.2" x14ac:dyDescent="0.25">
      <c r="A23" s="91"/>
      <c r="B23" s="1"/>
      <c r="C23" s="1"/>
      <c r="D23" s="1"/>
      <c r="E23" s="1"/>
      <c r="F23" s="1"/>
      <c r="G23" s="1"/>
      <c r="H23" s="1"/>
      <c r="I23" s="1"/>
      <c r="L23" s="92"/>
    </row>
    <row r="24" spans="1:12" ht="13.2" x14ac:dyDescent="0.25">
      <c r="A24" s="91"/>
      <c r="B24" s="1"/>
      <c r="C24" s="1"/>
      <c r="D24" s="1"/>
      <c r="E24" s="1"/>
      <c r="F24" s="1"/>
      <c r="G24" s="1"/>
      <c r="H24" s="1"/>
      <c r="I24" s="1"/>
      <c r="L24" s="92"/>
    </row>
    <row r="25" spans="1:12" ht="13.2" x14ac:dyDescent="0.25">
      <c r="A25" s="91"/>
      <c r="B25" s="1"/>
      <c r="C25" s="1"/>
      <c r="D25" s="1"/>
      <c r="E25" s="1"/>
      <c r="F25" s="1"/>
      <c r="G25" s="1"/>
      <c r="H25" s="1"/>
      <c r="I25" s="1"/>
      <c r="L25" s="92"/>
    </row>
    <row r="26" spans="1:12" ht="15.6" x14ac:dyDescent="0.3">
      <c r="A26" s="91"/>
      <c r="B26" s="123" t="s">
        <v>211</v>
      </c>
      <c r="C26" s="124"/>
      <c r="D26" s="124"/>
      <c r="E26" s="124"/>
      <c r="F26" s="124"/>
      <c r="G26" s="124"/>
      <c r="H26" s="124"/>
      <c r="I26" s="124"/>
      <c r="J26" s="125"/>
      <c r="K26" s="125"/>
      <c r="L26" s="92"/>
    </row>
    <row r="27" spans="1:12" ht="13.2" x14ac:dyDescent="0.25">
      <c r="A27" s="91"/>
      <c r="B27" s="1"/>
      <c r="C27" s="1"/>
      <c r="D27" s="1"/>
      <c r="E27" s="1"/>
      <c r="F27" s="1"/>
      <c r="G27" s="1"/>
      <c r="H27" s="1"/>
      <c r="I27" s="1"/>
      <c r="L27" s="92"/>
    </row>
    <row r="28" spans="1:12" ht="13.2" x14ac:dyDescent="0.25">
      <c r="A28" s="91"/>
      <c r="B28" s="1"/>
      <c r="C28" s="1"/>
      <c r="D28" s="1"/>
      <c r="E28" s="1"/>
      <c r="F28" s="1"/>
      <c r="G28" s="1"/>
      <c r="H28" s="1"/>
      <c r="I28" s="1"/>
      <c r="L28" s="92"/>
    </row>
    <row r="29" spans="1:12" ht="13.2" x14ac:dyDescent="0.25">
      <c r="A29" s="91"/>
      <c r="B29" s="1"/>
      <c r="C29" s="1"/>
      <c r="D29" s="1"/>
      <c r="E29" s="1"/>
      <c r="F29" s="1"/>
      <c r="G29" s="1"/>
      <c r="H29" s="1"/>
      <c r="I29" s="1"/>
      <c r="L29" s="92"/>
    </row>
    <row r="30" spans="1:12" ht="13.2" x14ac:dyDescent="0.25">
      <c r="A30" s="91"/>
      <c r="B30" s="1"/>
      <c r="C30" s="1"/>
      <c r="D30" s="1"/>
      <c r="E30" s="1"/>
      <c r="F30" s="1"/>
      <c r="G30" s="1"/>
      <c r="H30" s="1"/>
      <c r="I30" s="1"/>
      <c r="L30" s="92"/>
    </row>
    <row r="31" spans="1:12" ht="13.2" x14ac:dyDescent="0.25">
      <c r="A31" s="91"/>
      <c r="B31" s="1"/>
      <c r="C31" s="1"/>
      <c r="D31" s="1"/>
      <c r="E31" s="1"/>
      <c r="F31" s="1"/>
      <c r="G31" s="1"/>
      <c r="H31" s="1"/>
      <c r="I31" s="1"/>
      <c r="L31" s="92"/>
    </row>
    <row r="32" spans="1:12" ht="13.2" x14ac:dyDescent="0.25">
      <c r="A32" s="91"/>
      <c r="B32" s="1"/>
      <c r="C32" s="1"/>
      <c r="D32" s="1"/>
      <c r="E32" s="1"/>
      <c r="F32" s="1"/>
      <c r="G32" s="1"/>
      <c r="H32" s="1"/>
      <c r="I32" s="1"/>
      <c r="L32" s="92"/>
    </row>
    <row r="33" spans="1:12" ht="13.2" x14ac:dyDescent="0.25">
      <c r="A33" s="91"/>
      <c r="B33" s="1"/>
      <c r="C33" s="1"/>
      <c r="D33" s="1"/>
      <c r="E33" s="1"/>
      <c r="F33" s="1"/>
      <c r="G33" s="1"/>
      <c r="H33" s="1"/>
      <c r="I33" s="1"/>
      <c r="L33" s="92"/>
    </row>
    <row r="34" spans="1:12" ht="13.2" x14ac:dyDescent="0.25">
      <c r="A34" s="91"/>
      <c r="B34" s="1"/>
      <c r="C34" s="1"/>
      <c r="D34" s="1"/>
      <c r="E34" s="1"/>
      <c r="F34" s="1"/>
      <c r="G34" s="1"/>
      <c r="H34" s="1"/>
      <c r="I34" s="1"/>
      <c r="L34" s="92"/>
    </row>
    <row r="35" spans="1:12" ht="13.2" x14ac:dyDescent="0.25">
      <c r="A35" s="91"/>
      <c r="B35" s="1"/>
      <c r="C35" s="1"/>
      <c r="D35" s="1"/>
      <c r="E35" s="1"/>
      <c r="F35" s="1"/>
      <c r="G35" s="1"/>
      <c r="H35" s="1"/>
      <c r="I35" s="1"/>
      <c r="L35" s="92"/>
    </row>
    <row r="36" spans="1:12" ht="13.2" x14ac:dyDescent="0.25">
      <c r="A36" s="91"/>
      <c r="B36" s="1"/>
      <c r="C36" s="1"/>
      <c r="D36" s="1"/>
      <c r="E36" s="1"/>
      <c r="F36" s="1"/>
      <c r="G36" s="1"/>
      <c r="H36" s="1"/>
      <c r="I36" s="1"/>
      <c r="L36" s="92"/>
    </row>
    <row r="37" spans="1:12" ht="13.2" x14ac:dyDescent="0.25">
      <c r="A37" s="91"/>
      <c r="B37" s="1"/>
      <c r="C37" s="1"/>
      <c r="D37" s="1"/>
      <c r="E37" s="1"/>
      <c r="F37" s="1"/>
      <c r="G37" s="1"/>
      <c r="H37" s="1"/>
      <c r="I37" s="1"/>
      <c r="L37" s="92"/>
    </row>
    <row r="38" spans="1:12" ht="13.2" x14ac:dyDescent="0.25">
      <c r="A38" s="91"/>
      <c r="B38" s="1"/>
      <c r="C38" s="1"/>
      <c r="D38" s="1"/>
      <c r="E38" s="1"/>
      <c r="F38" s="1"/>
      <c r="G38" s="1"/>
      <c r="H38" s="1"/>
      <c r="I38" s="1"/>
      <c r="L38" s="92"/>
    </row>
    <row r="39" spans="1:12" ht="13.2" x14ac:dyDescent="0.25">
      <c r="A39" s="91"/>
      <c r="B39" s="1"/>
      <c r="C39" s="1"/>
      <c r="D39" s="1"/>
      <c r="E39" s="1"/>
      <c r="F39" s="1"/>
      <c r="G39" s="1"/>
      <c r="H39" s="1"/>
      <c r="I39" s="1"/>
      <c r="L39" s="92"/>
    </row>
    <row r="40" spans="1:12" ht="13.2" x14ac:dyDescent="0.25">
      <c r="A40" s="91"/>
      <c r="B40" s="1"/>
      <c r="C40" s="1"/>
      <c r="D40" s="1"/>
      <c r="E40" s="1"/>
      <c r="F40" s="1"/>
      <c r="G40" s="1"/>
      <c r="H40" s="1"/>
      <c r="I40" s="1"/>
      <c r="L40" s="92"/>
    </row>
    <row r="41" spans="1:12" ht="13.2" x14ac:dyDescent="0.25">
      <c r="A41" s="91"/>
      <c r="B41" s="1"/>
      <c r="C41" s="1"/>
      <c r="D41" s="1"/>
      <c r="E41" s="1"/>
      <c r="F41" s="1"/>
      <c r="G41" s="1"/>
      <c r="H41" s="1"/>
      <c r="I41" s="1"/>
      <c r="L41" s="92"/>
    </row>
    <row r="42" spans="1:12" ht="13.2" x14ac:dyDescent="0.25">
      <c r="A42" s="91"/>
      <c r="B42" s="49" t="s">
        <v>212</v>
      </c>
      <c r="C42" s="1"/>
      <c r="D42" s="1"/>
      <c r="E42" s="1"/>
      <c r="F42" s="1"/>
      <c r="G42" s="1"/>
      <c r="H42" s="1"/>
      <c r="I42" s="1"/>
      <c r="L42" s="92"/>
    </row>
    <row r="43" spans="1:12" ht="13.2" x14ac:dyDescent="0.25">
      <c r="A43" s="91"/>
      <c r="B43" s="3"/>
      <c r="C43" s="1"/>
      <c r="D43" s="1"/>
      <c r="E43" s="1"/>
      <c r="F43" s="1"/>
      <c r="G43" s="1"/>
      <c r="H43" s="1"/>
      <c r="I43" s="1"/>
      <c r="L43" s="92"/>
    </row>
    <row r="44" spans="1:12" ht="13.2" x14ac:dyDescent="0.25">
      <c r="A44" s="91"/>
      <c r="B44" s="48"/>
      <c r="C44" s="44"/>
      <c r="D44" s="44"/>
      <c r="E44" s="44"/>
      <c r="F44" s="44"/>
      <c r="G44" s="44"/>
      <c r="H44" s="44"/>
      <c r="I44" s="44"/>
      <c r="J44" s="87"/>
      <c r="K44" s="87"/>
      <c r="L44" s="92"/>
    </row>
    <row r="45" spans="1:12" ht="13.2" x14ac:dyDescent="0.25">
      <c r="A45" s="91"/>
      <c r="B45" s="3"/>
      <c r="C45" s="1"/>
      <c r="D45" s="1"/>
      <c r="E45" s="1"/>
      <c r="F45" s="1"/>
      <c r="G45" s="1"/>
      <c r="H45" s="1"/>
      <c r="I45" s="1"/>
      <c r="L45" s="92"/>
    </row>
    <row r="46" spans="1:12" ht="13.8" x14ac:dyDescent="0.25">
      <c r="A46" s="91"/>
      <c r="B46" s="45" t="s">
        <v>0</v>
      </c>
      <c r="C46" s="1"/>
      <c r="D46" s="1"/>
      <c r="E46" s="1"/>
      <c r="F46" s="1"/>
      <c r="G46" s="1" t="s">
        <v>213</v>
      </c>
      <c r="H46" s="1"/>
      <c r="I46" s="1"/>
      <c r="L46" s="92"/>
    </row>
    <row r="47" spans="1:12" ht="13.2" x14ac:dyDescent="0.25">
      <c r="A47" s="91"/>
      <c r="B47" s="1" t="s">
        <v>2</v>
      </c>
      <c r="C47" s="1"/>
      <c r="D47" s="1"/>
      <c r="E47" s="1"/>
      <c r="F47" s="1"/>
      <c r="G47" s="1" t="s">
        <v>214</v>
      </c>
      <c r="H47" s="1"/>
      <c r="I47" s="1"/>
      <c r="L47" s="92"/>
    </row>
    <row r="48" spans="1:12" ht="13.2" x14ac:dyDescent="0.25">
      <c r="A48" s="91"/>
      <c r="B48" s="1" t="s">
        <v>4</v>
      </c>
      <c r="C48" s="1"/>
      <c r="D48" s="1"/>
      <c r="E48" s="1"/>
      <c r="F48" s="3"/>
      <c r="G48" s="1" t="s">
        <v>215</v>
      </c>
      <c r="H48" s="1"/>
      <c r="I48" s="1"/>
      <c r="L48" s="92"/>
    </row>
    <row r="49" spans="1:12" ht="13.2" x14ac:dyDescent="0.25">
      <c r="A49" s="91"/>
      <c r="B49" s="1" t="s">
        <v>6</v>
      </c>
      <c r="C49" s="1"/>
      <c r="D49" s="1"/>
      <c r="E49" s="1"/>
      <c r="F49" s="1"/>
      <c r="G49" s="1" t="s">
        <v>216</v>
      </c>
      <c r="H49" s="1"/>
      <c r="I49" s="1"/>
      <c r="L49" s="92"/>
    </row>
    <row r="50" spans="1:12" ht="13.2" x14ac:dyDescent="0.25">
      <c r="A50" s="91"/>
      <c r="B50" s="1"/>
      <c r="C50" s="1"/>
      <c r="D50" s="1"/>
      <c r="E50" s="1"/>
      <c r="F50" s="1"/>
      <c r="G50" s="1"/>
      <c r="H50" s="1"/>
      <c r="I50" s="1"/>
      <c r="L50" s="92"/>
    </row>
    <row r="51" spans="1:12" x14ac:dyDescent="0.25">
      <c r="A51" s="93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5"/>
    </row>
  </sheetData>
  <mergeCells count="1">
    <mergeCell ref="F7:K7"/>
  </mergeCells>
  <pageMargins left="0.95" right="0.2" top="0.7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59"/>
  <sheetViews>
    <sheetView topLeftCell="A18" workbookViewId="0">
      <selection activeCell="Q26" sqref="Q26"/>
    </sheetView>
  </sheetViews>
  <sheetFormatPr defaultRowHeight="13.2" x14ac:dyDescent="0.25"/>
  <cols>
    <col min="1" max="1" width="3.85546875" style="1" customWidth="1"/>
    <col min="2" max="2" width="4.42578125" style="1" customWidth="1"/>
    <col min="3" max="4" width="9.28515625" style="1" customWidth="1"/>
    <col min="5" max="5" width="10" style="1" customWidth="1"/>
    <col min="6" max="6" width="13.7109375" style="1" customWidth="1"/>
    <col min="7" max="8" width="11" style="1" customWidth="1"/>
    <col min="9" max="10" width="9.28515625" style="1" customWidth="1"/>
    <col min="11" max="11" width="6.28515625" style="1" customWidth="1"/>
    <col min="12" max="12" width="14.85546875" style="1" customWidth="1"/>
    <col min="13" max="13" width="6.140625" style="1" customWidth="1"/>
    <col min="14" max="257" width="9.28515625" style="1" customWidth="1"/>
  </cols>
  <sheetData>
    <row r="1" spans="2:13" x14ac:dyDescent="0.25">
      <c r="B1" s="59"/>
      <c r="C1" s="55"/>
      <c r="D1" s="55"/>
      <c r="E1" s="55"/>
      <c r="F1" s="55"/>
      <c r="G1" s="55"/>
      <c r="H1" s="55"/>
      <c r="I1" s="55"/>
      <c r="J1" s="55"/>
      <c r="K1" s="55"/>
      <c r="L1" s="55"/>
      <c r="M1" s="79"/>
    </row>
    <row r="2" spans="2:13" x14ac:dyDescent="0.25">
      <c r="B2" s="2"/>
      <c r="M2" s="4"/>
    </row>
    <row r="3" spans="2:13" ht="13.8" x14ac:dyDescent="0.25">
      <c r="B3" s="2"/>
      <c r="C3" s="45" t="s">
        <v>0</v>
      </c>
      <c r="J3" s="1" t="s">
        <v>217</v>
      </c>
      <c r="M3" s="4"/>
    </row>
    <row r="4" spans="2:13" x14ac:dyDescent="0.25">
      <c r="B4" s="2"/>
      <c r="C4" s="1" t="s">
        <v>2</v>
      </c>
      <c r="D4" s="3"/>
      <c r="J4" s="1" t="s">
        <v>3</v>
      </c>
      <c r="M4" s="4"/>
    </row>
    <row r="5" spans="2:13" x14ac:dyDescent="0.25">
      <c r="B5" s="2"/>
      <c r="C5" s="1" t="s">
        <v>218</v>
      </c>
      <c r="I5" s="3"/>
      <c r="J5" s="1" t="s">
        <v>5</v>
      </c>
      <c r="M5" s="4"/>
    </row>
    <row r="6" spans="2:13" x14ac:dyDescent="0.25">
      <c r="B6" s="2"/>
      <c r="C6" s="6" t="s">
        <v>6</v>
      </c>
      <c r="D6" s="6"/>
      <c r="E6" s="6"/>
      <c r="F6" s="6"/>
      <c r="G6" s="6"/>
      <c r="H6" s="6"/>
      <c r="I6" s="6"/>
      <c r="J6" s="6" t="s">
        <v>219</v>
      </c>
      <c r="K6" s="6"/>
      <c r="L6" s="6"/>
      <c r="M6" s="4"/>
    </row>
    <row r="7" spans="2:13" ht="3" customHeight="1" x14ac:dyDescent="0.25">
      <c r="B7" s="2"/>
      <c r="C7" s="44"/>
      <c r="D7" s="44"/>
      <c r="E7" s="44"/>
      <c r="F7" s="44"/>
      <c r="G7" s="44"/>
      <c r="H7" s="44"/>
      <c r="I7" s="44"/>
      <c r="J7" s="44"/>
      <c r="K7" s="44"/>
      <c r="L7" s="44"/>
      <c r="M7" s="4"/>
    </row>
    <row r="8" spans="2:13" x14ac:dyDescent="0.25">
      <c r="B8" s="2"/>
      <c r="C8" s="3"/>
      <c r="K8" s="8"/>
      <c r="L8" s="174"/>
      <c r="M8" s="4"/>
    </row>
    <row r="9" spans="2:13" x14ac:dyDescent="0.25">
      <c r="B9" s="126"/>
      <c r="M9" s="4"/>
    </row>
    <row r="10" spans="2:13" x14ac:dyDescent="0.25">
      <c r="B10" s="2"/>
      <c r="C10" s="3" t="s">
        <v>8</v>
      </c>
      <c r="D10" s="1" t="str">
        <f>Sheet1!C8</f>
        <v>SK/2025-26/OICL/9873</v>
      </c>
      <c r="K10" s="8" t="s">
        <v>10</v>
      </c>
      <c r="L10" s="173">
        <f>Sheet1!K8</f>
        <v>0</v>
      </c>
      <c r="M10" s="4"/>
    </row>
    <row r="11" spans="2:13" x14ac:dyDescent="0.25">
      <c r="B11" s="2"/>
      <c r="C11" s="3"/>
      <c r="K11" s="8"/>
      <c r="L11" s="174"/>
      <c r="M11" s="4"/>
    </row>
    <row r="12" spans="2:13" ht="13.8" x14ac:dyDescent="0.25">
      <c r="B12" s="2"/>
      <c r="C12" s="3"/>
      <c r="F12" s="127" t="s">
        <v>220</v>
      </c>
      <c r="K12" s="8"/>
      <c r="L12" s="174"/>
      <c r="M12" s="4"/>
    </row>
    <row r="13" spans="2:13" ht="13.8" x14ac:dyDescent="0.25">
      <c r="B13" s="2"/>
      <c r="F13" s="128"/>
      <c r="G13" s="129"/>
      <c r="M13" s="4"/>
    </row>
    <row r="14" spans="2:13" x14ac:dyDescent="0.25">
      <c r="B14" s="130"/>
      <c r="M14" s="4"/>
    </row>
    <row r="15" spans="2:13" x14ac:dyDescent="0.25">
      <c r="B15" s="2"/>
      <c r="C15" s="3" t="s">
        <v>23</v>
      </c>
      <c r="G15" s="1" t="str">
        <f>Sheet1!G18</f>
        <v>NA</v>
      </c>
      <c r="M15" s="4"/>
    </row>
    <row r="16" spans="2:13" x14ac:dyDescent="0.25">
      <c r="B16" s="2"/>
      <c r="G16" s="1" t="str">
        <f>Sheet1!G19</f>
        <v>delhi</v>
      </c>
      <c r="M16" s="4"/>
    </row>
    <row r="17" spans="2:13" x14ac:dyDescent="0.25">
      <c r="B17" s="130"/>
      <c r="M17" s="4"/>
    </row>
    <row r="18" spans="2:13" x14ac:dyDescent="0.25">
      <c r="B18" s="2"/>
      <c r="C18" s="3" t="s">
        <v>14</v>
      </c>
      <c r="G18" s="12" t="str">
        <f>Sheet1!G13</f>
        <v>NA</v>
      </c>
      <c r="M18" s="4"/>
    </row>
    <row r="19" spans="2:13" x14ac:dyDescent="0.25">
      <c r="B19" s="2"/>
      <c r="G19" s="12">
        <f>Sheet1!G14</f>
        <v>0</v>
      </c>
      <c r="H19" s="12"/>
      <c r="M19" s="4"/>
    </row>
    <row r="20" spans="2:13" x14ac:dyDescent="0.25">
      <c r="B20" s="2" t="s">
        <v>87</v>
      </c>
      <c r="G20" s="12">
        <f>Sheet1!G15</f>
        <v>0</v>
      </c>
      <c r="M20" s="4"/>
    </row>
    <row r="21" spans="2:13" x14ac:dyDescent="0.25">
      <c r="B21" s="2"/>
      <c r="M21" s="4"/>
    </row>
    <row r="22" spans="2:13" x14ac:dyDescent="0.25">
      <c r="B22" s="2"/>
      <c r="C22" s="3" t="s">
        <v>221</v>
      </c>
      <c r="G22" s="10" t="str">
        <f>Sheet1!G25</f>
        <v>HR49H9873</v>
      </c>
      <c r="M22" s="4"/>
    </row>
    <row r="23" spans="2:13" x14ac:dyDescent="0.25">
      <c r="B23" s="2"/>
      <c r="C23" s="1" t="s">
        <v>46</v>
      </c>
      <c r="G23" s="12" t="str">
        <f>Sheet1!G31</f>
        <v>MARUTI ALTO K10 VXI</v>
      </c>
      <c r="M23" s="4"/>
    </row>
    <row r="24" spans="2:13" x14ac:dyDescent="0.25">
      <c r="B24" s="126"/>
      <c r="M24" s="4"/>
    </row>
    <row r="25" spans="2:13" x14ac:dyDescent="0.25">
      <c r="B25" s="2"/>
      <c r="C25" s="3" t="s">
        <v>222</v>
      </c>
      <c r="G25" s="10" t="str">
        <f>Sheet1!G16</f>
        <v>NA</v>
      </c>
      <c r="J25" s="8" t="s">
        <v>21</v>
      </c>
      <c r="K25" s="12" t="str">
        <f>Sheet1!K16</f>
        <v>NA</v>
      </c>
      <c r="M25" s="4"/>
    </row>
    <row r="26" spans="2:13" ht="9" customHeight="1" x14ac:dyDescent="0.25">
      <c r="B26" s="2"/>
      <c r="C26" s="41"/>
      <c r="D26" s="6"/>
      <c r="E26" s="6"/>
      <c r="F26" s="6"/>
      <c r="G26" s="100"/>
      <c r="H26" s="131"/>
      <c r="I26" s="122"/>
      <c r="J26" s="6"/>
      <c r="K26" s="6"/>
      <c r="L26" s="6"/>
      <c r="M26" s="4"/>
    </row>
    <row r="27" spans="2:13" ht="9" customHeight="1" x14ac:dyDescent="0.25">
      <c r="B27" s="2"/>
      <c r="C27" s="3"/>
      <c r="G27" s="10"/>
      <c r="H27" s="8"/>
      <c r="I27" s="12"/>
      <c r="M27" s="4"/>
    </row>
    <row r="28" spans="2:13" x14ac:dyDescent="0.25">
      <c r="B28" s="2"/>
      <c r="C28" s="3" t="s">
        <v>223</v>
      </c>
      <c r="G28" s="47" t="s">
        <v>224</v>
      </c>
      <c r="H28" s="29">
        <v>1800</v>
      </c>
      <c r="I28" s="132"/>
      <c r="M28" s="4"/>
    </row>
    <row r="29" spans="2:13" x14ac:dyDescent="0.25">
      <c r="B29" s="126"/>
      <c r="G29" s="47"/>
      <c r="M29" s="4"/>
    </row>
    <row r="30" spans="2:13" x14ac:dyDescent="0.25">
      <c r="B30" s="2"/>
      <c r="C30" s="3" t="s">
        <v>225</v>
      </c>
      <c r="G30" s="47" t="s">
        <v>224</v>
      </c>
      <c r="H30" s="29">
        <v>500</v>
      </c>
      <c r="M30" s="4"/>
    </row>
    <row r="31" spans="2:13" x14ac:dyDescent="0.25">
      <c r="B31" s="126"/>
      <c r="G31" s="47"/>
      <c r="M31" s="4"/>
    </row>
    <row r="32" spans="2:13" x14ac:dyDescent="0.25">
      <c r="B32" s="2"/>
      <c r="C32" s="3" t="s">
        <v>226</v>
      </c>
      <c r="E32" s="1" t="s">
        <v>227</v>
      </c>
      <c r="G32" s="47" t="s">
        <v>224</v>
      </c>
      <c r="H32" s="29">
        <v>200</v>
      </c>
      <c r="M32" s="4"/>
    </row>
    <row r="33" spans="2:13" x14ac:dyDescent="0.25">
      <c r="B33" s="126"/>
      <c r="C33" s="1" t="s">
        <v>228</v>
      </c>
      <c r="G33" s="47"/>
      <c r="M33" s="4"/>
    </row>
    <row r="34" spans="2:13" x14ac:dyDescent="0.25">
      <c r="B34" s="126"/>
      <c r="G34" s="47"/>
      <c r="M34" s="4"/>
    </row>
    <row r="35" spans="2:13" x14ac:dyDescent="0.25">
      <c r="B35" s="2"/>
      <c r="C35" s="3" t="s">
        <v>229</v>
      </c>
      <c r="G35" s="47" t="s">
        <v>224</v>
      </c>
      <c r="H35" s="29">
        <v>0</v>
      </c>
      <c r="M35" s="4"/>
    </row>
    <row r="36" spans="2:13" x14ac:dyDescent="0.25">
      <c r="B36" s="126"/>
      <c r="G36" s="47"/>
      <c r="M36" s="4"/>
    </row>
    <row r="37" spans="2:13" x14ac:dyDescent="0.25">
      <c r="B37" s="2"/>
      <c r="C37" s="3" t="s">
        <v>230</v>
      </c>
      <c r="G37" s="47" t="s">
        <v>224</v>
      </c>
      <c r="H37" s="29">
        <v>0</v>
      </c>
      <c r="M37" s="4"/>
    </row>
    <row r="38" spans="2:13" x14ac:dyDescent="0.25">
      <c r="B38" s="2"/>
      <c r="G38" s="47"/>
      <c r="H38" s="1" t="s">
        <v>231</v>
      </c>
      <c r="M38" s="4"/>
    </row>
    <row r="39" spans="2:13" x14ac:dyDescent="0.25">
      <c r="B39" s="2"/>
      <c r="F39" s="8" t="s">
        <v>232</v>
      </c>
      <c r="G39" s="47" t="s">
        <v>224</v>
      </c>
      <c r="H39" s="29">
        <f>SUM(H28:H37)</f>
        <v>2500</v>
      </c>
      <c r="M39" s="4"/>
    </row>
    <row r="40" spans="2:13" x14ac:dyDescent="0.25">
      <c r="B40" s="2"/>
      <c r="H40" s="1" t="s">
        <v>231</v>
      </c>
      <c r="M40" s="4"/>
    </row>
    <row r="41" spans="2:13" x14ac:dyDescent="0.25">
      <c r="B41" s="2"/>
      <c r="M41" s="4"/>
    </row>
    <row r="42" spans="2:13" x14ac:dyDescent="0.25">
      <c r="B42" s="126"/>
      <c r="C42" s="12"/>
      <c r="M42" s="4"/>
    </row>
    <row r="43" spans="2:13" x14ac:dyDescent="0.25">
      <c r="B43" s="126"/>
      <c r="M43" s="4"/>
    </row>
    <row r="44" spans="2:13" ht="15.6" x14ac:dyDescent="0.3">
      <c r="B44" s="126"/>
      <c r="C44" s="149" t="s">
        <v>233</v>
      </c>
      <c r="D44" s="150"/>
      <c r="E44" s="150"/>
      <c r="F44" s="159" t="s">
        <v>234</v>
      </c>
      <c r="G44" s="160"/>
      <c r="M44" s="4"/>
    </row>
    <row r="45" spans="2:13" x14ac:dyDescent="0.25">
      <c r="B45" s="2"/>
      <c r="M45" s="4"/>
    </row>
    <row r="46" spans="2:13" x14ac:dyDescent="0.25">
      <c r="B46" s="2"/>
      <c r="M46" s="4"/>
    </row>
    <row r="47" spans="2:13" x14ac:dyDescent="0.25">
      <c r="B47" s="2"/>
      <c r="M47" s="4"/>
    </row>
    <row r="48" spans="2:13" x14ac:dyDescent="0.25">
      <c r="B48" s="2"/>
      <c r="C48" s="133" t="s">
        <v>235</v>
      </c>
      <c r="D48" s="134"/>
      <c r="E48" s="134"/>
      <c r="F48" s="135"/>
      <c r="J48" s="3" t="s">
        <v>236</v>
      </c>
      <c r="M48" s="4"/>
    </row>
    <row r="49" spans="2:13" x14ac:dyDescent="0.25">
      <c r="B49" s="2"/>
      <c r="C49" s="136"/>
      <c r="D49" s="137"/>
      <c r="E49" s="138"/>
      <c r="F49" s="139"/>
      <c r="M49" s="4"/>
    </row>
    <row r="50" spans="2:13" x14ac:dyDescent="0.25">
      <c r="B50" s="2"/>
      <c r="C50" s="140" t="s">
        <v>237</v>
      </c>
      <c r="D50" s="137"/>
      <c r="E50" s="138"/>
      <c r="F50" s="139"/>
      <c r="M50" s="4"/>
    </row>
    <row r="51" spans="2:13" x14ac:dyDescent="0.25">
      <c r="B51" s="2"/>
      <c r="C51" s="136" t="s">
        <v>238</v>
      </c>
      <c r="D51" s="137"/>
      <c r="E51" s="137" t="s">
        <v>239</v>
      </c>
      <c r="F51" s="141"/>
      <c r="M51" s="4"/>
    </row>
    <row r="52" spans="2:13" x14ac:dyDescent="0.25">
      <c r="B52" s="2"/>
      <c r="C52" s="136" t="s">
        <v>240</v>
      </c>
      <c r="D52" s="137"/>
      <c r="E52" s="171" t="s">
        <v>241</v>
      </c>
      <c r="F52" s="141"/>
      <c r="M52" s="4"/>
    </row>
    <row r="53" spans="2:13" x14ac:dyDescent="0.25">
      <c r="B53" s="2"/>
      <c r="C53" s="136" t="s">
        <v>242</v>
      </c>
      <c r="D53" s="137"/>
      <c r="E53" s="137" t="s">
        <v>243</v>
      </c>
      <c r="F53" s="141"/>
      <c r="M53" s="4"/>
    </row>
    <row r="54" spans="2:13" x14ac:dyDescent="0.25">
      <c r="B54" s="2"/>
      <c r="C54" s="136" t="s">
        <v>244</v>
      </c>
      <c r="D54" s="137"/>
      <c r="E54" s="137" t="s">
        <v>245</v>
      </c>
      <c r="F54" s="139"/>
      <c r="M54" s="4"/>
    </row>
    <row r="55" spans="2:13" x14ac:dyDescent="0.25">
      <c r="B55" s="2"/>
      <c r="C55" s="142" t="s">
        <v>246</v>
      </c>
      <c r="D55" s="143"/>
      <c r="E55" s="172" t="s">
        <v>247</v>
      </c>
      <c r="F55" s="144"/>
      <c r="M55" s="4"/>
    </row>
    <row r="56" spans="2:13" x14ac:dyDescent="0.25">
      <c r="B56" s="2"/>
      <c r="M56" s="4"/>
    </row>
    <row r="57" spans="2:13" x14ac:dyDescent="0.25">
      <c r="B57" s="2"/>
      <c r="M57" s="4"/>
    </row>
    <row r="58" spans="2:13" x14ac:dyDescent="0.25">
      <c r="B58" s="2"/>
      <c r="M58" s="4"/>
    </row>
    <row r="59" spans="2:13" x14ac:dyDescent="0.25"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7"/>
    </row>
  </sheetData>
  <printOptions horizontalCentered="1"/>
  <pageMargins left="0.45" right="0.45" top="0.5" bottom="0.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W58"/>
  <sheetViews>
    <sheetView workbookViewId="0">
      <selection activeCell="G56" sqref="G56"/>
    </sheetView>
  </sheetViews>
  <sheetFormatPr defaultRowHeight="13.2" x14ac:dyDescent="0.25"/>
  <cols>
    <col min="1" max="1" width="4.42578125" style="1" customWidth="1"/>
    <col min="2" max="6" width="9.28515625" style="1" customWidth="1"/>
    <col min="7" max="7" width="11.42578125" style="1" customWidth="1"/>
    <col min="8" max="257" width="9.28515625" style="1" customWidth="1"/>
  </cols>
  <sheetData>
    <row r="1" spans="1:13" x14ac:dyDescent="0.25">
      <c r="A1" s="59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79"/>
    </row>
    <row r="2" spans="1:13" x14ac:dyDescent="0.25">
      <c r="A2" s="2"/>
      <c r="M2" s="4"/>
    </row>
    <row r="3" spans="1:13" ht="15.6" x14ac:dyDescent="0.3">
      <c r="A3" s="2"/>
      <c r="B3" s="155" t="s">
        <v>248</v>
      </c>
      <c r="I3" s="50" t="str">
        <f>Sheet1!G68</f>
        <v>Govind Motor</v>
      </c>
      <c r="M3" s="4"/>
    </row>
    <row r="4" spans="1:13" x14ac:dyDescent="0.25">
      <c r="A4" s="2"/>
      <c r="B4" s="3"/>
      <c r="I4" s="3"/>
      <c r="M4" s="4"/>
    </row>
    <row r="5" spans="1:13" x14ac:dyDescent="0.25">
      <c r="A5" s="2"/>
      <c r="M5" s="4"/>
    </row>
    <row r="6" spans="1:13" x14ac:dyDescent="0.25">
      <c r="A6" s="154">
        <v>1</v>
      </c>
      <c r="B6" s="3" t="s">
        <v>249</v>
      </c>
      <c r="F6" s="3" t="s">
        <v>15</v>
      </c>
      <c r="G6" s="1" t="str">
        <f>Sheet1!G18</f>
        <v>NA</v>
      </c>
      <c r="M6" s="4"/>
    </row>
    <row r="7" spans="1:13" x14ac:dyDescent="0.25">
      <c r="A7" s="154">
        <v>2</v>
      </c>
      <c r="B7" s="3" t="s">
        <v>250</v>
      </c>
      <c r="F7" s="3" t="s">
        <v>15</v>
      </c>
      <c r="G7" s="1" t="str">
        <f>Sheet1!G16</f>
        <v>NA</v>
      </c>
      <c r="J7" s="8" t="s">
        <v>21</v>
      </c>
      <c r="K7" s="1" t="str">
        <f>Sheet1!K16</f>
        <v>NA</v>
      </c>
      <c r="M7" s="4"/>
    </row>
    <row r="8" spans="1:13" x14ac:dyDescent="0.25">
      <c r="A8" s="154">
        <v>3</v>
      </c>
      <c r="B8" s="3" t="s">
        <v>251</v>
      </c>
      <c r="F8" s="3" t="s">
        <v>15</v>
      </c>
      <c r="G8" s="3" t="str">
        <f>Sheet1!G25</f>
        <v>HR49H9873</v>
      </c>
      <c r="M8" s="4"/>
    </row>
    <row r="9" spans="1:13" x14ac:dyDescent="0.25">
      <c r="A9" s="154">
        <v>4</v>
      </c>
      <c r="B9" s="3" t="s">
        <v>210</v>
      </c>
      <c r="F9" s="3" t="s">
        <v>15</v>
      </c>
      <c r="G9" s="1" t="str">
        <f>Sheet1!G57</f>
        <v>NA</v>
      </c>
      <c r="M9" s="4"/>
    </row>
    <row r="10" spans="1:13" x14ac:dyDescent="0.25">
      <c r="A10" s="154">
        <v>5</v>
      </c>
      <c r="B10" s="3" t="s">
        <v>252</v>
      </c>
      <c r="F10" s="3" t="s">
        <v>15</v>
      </c>
      <c r="M10" s="4"/>
    </row>
    <row r="11" spans="1:13" x14ac:dyDescent="0.25">
      <c r="A11" s="2"/>
      <c r="F11" s="3" t="s">
        <v>15</v>
      </c>
      <c r="M11" s="4"/>
    </row>
    <row r="12" spans="1:13" x14ac:dyDescent="0.25">
      <c r="A12" s="2"/>
      <c r="B12" s="9" t="s">
        <v>253</v>
      </c>
      <c r="F12" s="3"/>
      <c r="M12" s="4"/>
    </row>
    <row r="13" spans="1:13" x14ac:dyDescent="0.25">
      <c r="A13" s="2"/>
      <c r="F13" s="3"/>
      <c r="M13" s="4"/>
    </row>
    <row r="14" spans="1:13" x14ac:dyDescent="0.25">
      <c r="A14" s="112">
        <v>1</v>
      </c>
      <c r="B14" s="1" t="s">
        <v>254</v>
      </c>
      <c r="F14" s="3" t="s">
        <v>15</v>
      </c>
      <c r="G14" s="1" t="s">
        <v>255</v>
      </c>
      <c r="M14" s="4"/>
    </row>
    <row r="15" spans="1:13" x14ac:dyDescent="0.25">
      <c r="A15" s="112">
        <v>2</v>
      </c>
      <c r="B15" s="1" t="s">
        <v>256</v>
      </c>
      <c r="F15" s="3" t="s">
        <v>15</v>
      </c>
      <c r="G15" s="1" t="s">
        <v>255</v>
      </c>
      <c r="M15" s="4"/>
    </row>
    <row r="16" spans="1:13" x14ac:dyDescent="0.25">
      <c r="A16" s="112">
        <v>3</v>
      </c>
      <c r="B16" s="1" t="s">
        <v>257</v>
      </c>
      <c r="F16" s="3" t="s">
        <v>15</v>
      </c>
      <c r="G16" s="1" t="s">
        <v>255</v>
      </c>
      <c r="M16" s="4"/>
    </row>
    <row r="17" spans="1:13" x14ac:dyDescent="0.25">
      <c r="A17" s="112">
        <v>4</v>
      </c>
      <c r="B17" s="1" t="s">
        <v>258</v>
      </c>
      <c r="F17" s="3" t="s">
        <v>15</v>
      </c>
      <c r="G17" s="1" t="s">
        <v>255</v>
      </c>
      <c r="M17" s="4"/>
    </row>
    <row r="18" spans="1:13" x14ac:dyDescent="0.25">
      <c r="A18" s="112">
        <v>5</v>
      </c>
      <c r="B18" s="1" t="s">
        <v>259</v>
      </c>
      <c r="F18" s="3" t="s">
        <v>15</v>
      </c>
      <c r="G18" s="1" t="s">
        <v>255</v>
      </c>
      <c r="M18" s="4"/>
    </row>
    <row r="19" spans="1:13" x14ac:dyDescent="0.25">
      <c r="A19" s="112">
        <v>6</v>
      </c>
      <c r="B19" s="1" t="s">
        <v>260</v>
      </c>
      <c r="F19" s="3" t="s">
        <v>15</v>
      </c>
      <c r="G19" s="1" t="s">
        <v>255</v>
      </c>
      <c r="M19" s="4"/>
    </row>
    <row r="20" spans="1:13" x14ac:dyDescent="0.25">
      <c r="A20" s="112">
        <v>7</v>
      </c>
      <c r="B20" s="1" t="s">
        <v>261</v>
      </c>
      <c r="F20" s="3" t="s">
        <v>15</v>
      </c>
      <c r="G20" s="1" t="s">
        <v>255</v>
      </c>
      <c r="M20" s="4"/>
    </row>
    <row r="21" spans="1:13" x14ac:dyDescent="0.25">
      <c r="A21" s="112">
        <v>8</v>
      </c>
      <c r="B21" s="1" t="s">
        <v>262</v>
      </c>
      <c r="F21" s="3" t="s">
        <v>15</v>
      </c>
      <c r="G21" s="1" t="s">
        <v>263</v>
      </c>
      <c r="M21" s="4"/>
    </row>
    <row r="22" spans="1:13" x14ac:dyDescent="0.25">
      <c r="A22" s="112">
        <v>9</v>
      </c>
      <c r="B22" s="1" t="s">
        <v>264</v>
      </c>
      <c r="F22" s="3" t="s">
        <v>15</v>
      </c>
      <c r="G22" s="1" t="s">
        <v>146</v>
      </c>
      <c r="M22" s="4"/>
    </row>
    <row r="23" spans="1:13" x14ac:dyDescent="0.25">
      <c r="A23" s="112">
        <v>10</v>
      </c>
      <c r="B23" s="1" t="s">
        <v>265</v>
      </c>
      <c r="F23" s="3" t="s">
        <v>15</v>
      </c>
      <c r="G23" s="1" t="s">
        <v>255</v>
      </c>
      <c r="M23" s="4"/>
    </row>
    <row r="24" spans="1:13" x14ac:dyDescent="0.25">
      <c r="A24" s="112">
        <v>11</v>
      </c>
      <c r="B24" s="1" t="s">
        <v>266</v>
      </c>
      <c r="F24" s="3" t="s">
        <v>15</v>
      </c>
      <c r="G24" s="1" t="s">
        <v>255</v>
      </c>
      <c r="M24" s="4"/>
    </row>
    <row r="25" spans="1:13" x14ac:dyDescent="0.25">
      <c r="A25" s="151">
        <v>12</v>
      </c>
      <c r="B25" s="75" t="s">
        <v>267</v>
      </c>
      <c r="C25" s="55"/>
      <c r="D25" s="55"/>
      <c r="E25" s="55"/>
      <c r="F25" s="75" t="s">
        <v>15</v>
      </c>
      <c r="G25" s="75" t="s">
        <v>268</v>
      </c>
      <c r="H25" s="75"/>
      <c r="I25" s="55"/>
      <c r="J25" s="55" t="s">
        <v>146</v>
      </c>
      <c r="K25" s="75"/>
      <c r="L25" s="55"/>
      <c r="M25" s="79"/>
    </row>
    <row r="26" spans="1:13" x14ac:dyDescent="0.25">
      <c r="A26" s="112"/>
      <c r="B26" s="3"/>
      <c r="F26" s="3"/>
      <c r="G26" s="3" t="s">
        <v>269</v>
      </c>
      <c r="H26" s="3"/>
      <c r="J26" s="1" t="s">
        <v>146</v>
      </c>
      <c r="K26" s="3"/>
      <c r="M26" s="4"/>
    </row>
    <row r="27" spans="1:13" x14ac:dyDescent="0.25">
      <c r="A27" s="112"/>
      <c r="B27" s="3"/>
      <c r="F27" s="3"/>
      <c r="G27" s="3" t="s">
        <v>270</v>
      </c>
      <c r="H27" s="3"/>
      <c r="J27" s="1" t="s">
        <v>146</v>
      </c>
      <c r="K27" s="3"/>
      <c r="M27" s="4"/>
    </row>
    <row r="28" spans="1:13" x14ac:dyDescent="0.25">
      <c r="A28" s="112"/>
      <c r="B28" s="3"/>
      <c r="F28" s="3"/>
      <c r="G28" s="3" t="s">
        <v>271</v>
      </c>
      <c r="H28" s="3"/>
      <c r="J28" s="1" t="s">
        <v>146</v>
      </c>
      <c r="K28" s="3"/>
      <c r="M28" s="4"/>
    </row>
    <row r="29" spans="1:13" x14ac:dyDescent="0.25">
      <c r="A29" s="112"/>
      <c r="B29" s="3"/>
      <c r="F29" s="3"/>
      <c r="G29" s="3" t="s">
        <v>272</v>
      </c>
      <c r="H29" s="3"/>
      <c r="J29" s="1" t="s">
        <v>146</v>
      </c>
      <c r="K29" s="3"/>
      <c r="M29" s="4"/>
    </row>
    <row r="30" spans="1:13" x14ac:dyDescent="0.25">
      <c r="A30" s="111"/>
      <c r="B30" s="41"/>
      <c r="C30" s="6"/>
      <c r="D30" s="6"/>
      <c r="E30" s="6"/>
      <c r="F30" s="41"/>
      <c r="G30" s="41" t="s">
        <v>270</v>
      </c>
      <c r="H30" s="41"/>
      <c r="I30" s="6"/>
      <c r="J30" s="6" t="s">
        <v>146</v>
      </c>
      <c r="K30" s="6"/>
      <c r="L30" s="6"/>
      <c r="M30" s="7"/>
    </row>
    <row r="31" spans="1:13" x14ac:dyDescent="0.25">
      <c r="A31" s="112">
        <v>13</v>
      </c>
      <c r="B31" s="1" t="s">
        <v>273</v>
      </c>
      <c r="F31" s="3" t="s">
        <v>15</v>
      </c>
      <c r="G31" s="1" t="s">
        <v>146</v>
      </c>
      <c r="M31" s="4"/>
    </row>
    <row r="32" spans="1:13" x14ac:dyDescent="0.25">
      <c r="A32" s="112">
        <v>14</v>
      </c>
      <c r="B32" s="1" t="s">
        <v>274</v>
      </c>
      <c r="F32" s="3" t="s">
        <v>15</v>
      </c>
      <c r="G32" s="1" t="s">
        <v>146</v>
      </c>
      <c r="I32" s="39" t="s">
        <v>275</v>
      </c>
      <c r="J32" s="18"/>
      <c r="K32" s="20" t="s">
        <v>255</v>
      </c>
      <c r="M32" s="4"/>
    </row>
    <row r="33" spans="1:13" x14ac:dyDescent="0.25">
      <c r="A33" s="112">
        <v>15</v>
      </c>
      <c r="B33" s="1" t="s">
        <v>226</v>
      </c>
      <c r="F33" s="3" t="s">
        <v>15</v>
      </c>
      <c r="G33" s="1" t="s">
        <v>255</v>
      </c>
      <c r="M33" s="4"/>
    </row>
    <row r="34" spans="1:13" x14ac:dyDescent="0.25">
      <c r="A34" s="112">
        <v>16</v>
      </c>
      <c r="B34" s="1" t="s">
        <v>276</v>
      </c>
      <c r="F34" s="3" t="s">
        <v>15</v>
      </c>
      <c r="G34" s="1" t="s">
        <v>255</v>
      </c>
      <c r="M34" s="4"/>
    </row>
    <row r="35" spans="1:13" x14ac:dyDescent="0.25">
      <c r="A35" s="112">
        <v>17</v>
      </c>
      <c r="B35" s="1" t="s">
        <v>220</v>
      </c>
      <c r="F35" s="3" t="s">
        <v>15</v>
      </c>
      <c r="G35" s="1" t="s">
        <v>255</v>
      </c>
      <c r="M35" s="4"/>
    </row>
    <row r="36" spans="1:13" x14ac:dyDescent="0.25">
      <c r="A36" s="112">
        <v>18</v>
      </c>
      <c r="B36" s="1" t="s">
        <v>277</v>
      </c>
      <c r="F36" s="3" t="s">
        <v>15</v>
      </c>
      <c r="G36" s="1" t="s">
        <v>255</v>
      </c>
      <c r="M36" s="4"/>
    </row>
    <row r="37" spans="1:13" x14ac:dyDescent="0.25">
      <c r="A37" s="112">
        <v>19</v>
      </c>
      <c r="B37" s="1" t="s">
        <v>278</v>
      </c>
      <c r="F37" s="3" t="s">
        <v>15</v>
      </c>
      <c r="G37" s="1" t="s">
        <v>255</v>
      </c>
      <c r="M37" s="4"/>
    </row>
    <row r="38" spans="1:13" x14ac:dyDescent="0.25">
      <c r="A38" s="112">
        <v>20</v>
      </c>
      <c r="B38" s="1" t="s">
        <v>279</v>
      </c>
      <c r="F38" s="3" t="s">
        <v>15</v>
      </c>
      <c r="G38" s="3"/>
      <c r="M38" s="4"/>
    </row>
    <row r="39" spans="1:13" x14ac:dyDescent="0.25">
      <c r="A39" s="112">
        <v>21</v>
      </c>
      <c r="B39" s="1" t="s">
        <v>280</v>
      </c>
      <c r="F39" s="3" t="s">
        <v>15</v>
      </c>
      <c r="M39" s="4"/>
    </row>
    <row r="40" spans="1:13" x14ac:dyDescent="0.25">
      <c r="A40" s="112">
        <v>22</v>
      </c>
      <c r="B40" s="1" t="s">
        <v>280</v>
      </c>
      <c r="F40" s="3" t="s">
        <v>15</v>
      </c>
      <c r="M40" s="4"/>
    </row>
    <row r="41" spans="1:13" x14ac:dyDescent="0.25">
      <c r="A41" s="112">
        <v>23</v>
      </c>
      <c r="B41" s="1" t="s">
        <v>281</v>
      </c>
      <c r="F41" s="3" t="s">
        <v>15</v>
      </c>
      <c r="M41" s="4"/>
    </row>
    <row r="42" spans="1:13" x14ac:dyDescent="0.25">
      <c r="A42" s="112">
        <v>24</v>
      </c>
      <c r="B42" s="1" t="s">
        <v>282</v>
      </c>
      <c r="F42" s="3" t="s">
        <v>15</v>
      </c>
      <c r="G42" s="12"/>
      <c r="M42" s="4"/>
    </row>
    <row r="43" spans="1:13" x14ac:dyDescent="0.25">
      <c r="A43" s="2"/>
      <c r="M43" s="4"/>
    </row>
    <row r="44" spans="1:13" ht="15.6" x14ac:dyDescent="0.3">
      <c r="A44" s="2"/>
      <c r="B44" s="155" t="s">
        <v>128</v>
      </c>
      <c r="M44" s="4"/>
    </row>
    <row r="45" spans="1:13" x14ac:dyDescent="0.25">
      <c r="A45" s="2"/>
      <c r="M45" s="4"/>
    </row>
    <row r="46" spans="1:13" x14ac:dyDescent="0.25">
      <c r="A46" s="2"/>
      <c r="B46" s="59" t="s">
        <v>283</v>
      </c>
      <c r="C46" s="55"/>
      <c r="D46" s="55"/>
      <c r="E46" s="55"/>
      <c r="F46" s="75" t="s">
        <v>15</v>
      </c>
      <c r="G46" s="60">
        <f>Sheet1!G174</f>
        <v>4074.6698000000001</v>
      </c>
      <c r="M46" s="4"/>
    </row>
    <row r="47" spans="1:13" x14ac:dyDescent="0.25">
      <c r="A47" s="2"/>
      <c r="B47" s="2" t="s">
        <v>284</v>
      </c>
      <c r="F47" s="3" t="s">
        <v>15</v>
      </c>
      <c r="G47" s="22">
        <v>0</v>
      </c>
      <c r="M47" s="4"/>
    </row>
    <row r="48" spans="1:13" x14ac:dyDescent="0.25">
      <c r="A48" s="2"/>
      <c r="B48" s="5" t="s">
        <v>285</v>
      </c>
      <c r="C48" s="6"/>
      <c r="D48" s="6"/>
      <c r="E48" s="6"/>
      <c r="F48" s="41" t="s">
        <v>15</v>
      </c>
      <c r="G48" s="28">
        <f>Sheet1!G175</f>
        <v>0</v>
      </c>
      <c r="M48" s="4"/>
    </row>
    <row r="49" spans="1:13" x14ac:dyDescent="0.25">
      <c r="A49" s="2"/>
      <c r="B49" s="59" t="s">
        <v>161</v>
      </c>
      <c r="C49" s="55"/>
      <c r="D49" s="55"/>
      <c r="E49" s="55"/>
      <c r="F49" s="75" t="s">
        <v>15</v>
      </c>
      <c r="G49" s="60">
        <f>SUM(G46:G48)</f>
        <v>4074.6698000000001</v>
      </c>
      <c r="M49" s="4"/>
    </row>
    <row r="50" spans="1:13" x14ac:dyDescent="0.25">
      <c r="A50" s="2"/>
      <c r="B50" s="5" t="s">
        <v>183</v>
      </c>
      <c r="C50" s="6"/>
      <c r="D50" s="6"/>
      <c r="E50" s="6"/>
      <c r="F50" s="41" t="s">
        <v>15</v>
      </c>
      <c r="G50" s="28">
        <f>Sheet1!G177</f>
        <v>500</v>
      </c>
      <c r="M50" s="4"/>
    </row>
    <row r="51" spans="1:13" x14ac:dyDescent="0.25">
      <c r="A51" s="2"/>
      <c r="B51" s="2" t="s">
        <v>161</v>
      </c>
      <c r="F51" s="3" t="s">
        <v>15</v>
      </c>
      <c r="G51" s="22">
        <f>G49-G50</f>
        <v>3574.6698000000001</v>
      </c>
      <c r="M51" s="4"/>
    </row>
    <row r="52" spans="1:13" x14ac:dyDescent="0.25">
      <c r="A52" s="2"/>
      <c r="B52" s="5" t="s">
        <v>286</v>
      </c>
      <c r="C52" s="6"/>
      <c r="D52" s="6"/>
      <c r="E52" s="6"/>
      <c r="F52" s="41" t="s">
        <v>15</v>
      </c>
      <c r="G52" s="28">
        <f>Sheet1!G180</f>
        <v>0</v>
      </c>
      <c r="M52" s="4"/>
    </row>
    <row r="53" spans="1:13" x14ac:dyDescent="0.25">
      <c r="A53" s="13"/>
      <c r="B53" s="152" t="s">
        <v>186</v>
      </c>
      <c r="C53" s="153"/>
      <c r="D53" s="153"/>
      <c r="E53" s="153"/>
      <c r="F53" s="153" t="s">
        <v>15</v>
      </c>
      <c r="G53" s="156">
        <f>G51-G52</f>
        <v>3574.6698000000001</v>
      </c>
      <c r="M53" s="4"/>
    </row>
    <row r="54" spans="1:13" x14ac:dyDescent="0.25">
      <c r="A54" s="2"/>
      <c r="F54" s="3"/>
      <c r="M54" s="4"/>
    </row>
    <row r="55" spans="1:13" x14ac:dyDescent="0.25">
      <c r="A55" s="2"/>
      <c r="K55" s="3" t="s">
        <v>236</v>
      </c>
      <c r="M55" s="4"/>
    </row>
    <row r="56" spans="1:13" x14ac:dyDescent="0.25">
      <c r="A56" s="2"/>
      <c r="M56" s="4"/>
    </row>
    <row r="57" spans="1:13" x14ac:dyDescent="0.25">
      <c r="A57" s="2"/>
      <c r="M57" s="4"/>
    </row>
    <row r="58" spans="1:13" x14ac:dyDescent="0.25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7"/>
    </row>
  </sheetData>
  <printOptions horizontalCentered="1"/>
  <pageMargins left="0" right="0" top="0.5" bottom="0.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G15"/>
  <sheetViews>
    <sheetView workbookViewId="0">
      <selection activeCell="D10" sqref="D10"/>
    </sheetView>
  </sheetViews>
  <sheetFormatPr defaultRowHeight="12" x14ac:dyDescent="0.25"/>
  <cols>
    <col min="1" max="1" width="6.7109375" customWidth="1"/>
    <col min="2" max="2" width="22.42578125" customWidth="1"/>
    <col min="3" max="3" width="23.28515625" customWidth="1"/>
    <col min="4" max="4" width="14.7109375" customWidth="1"/>
    <col min="5" max="5" width="14.28515625" customWidth="1"/>
    <col min="6" max="6" width="13.140625" customWidth="1"/>
    <col min="7" max="7" width="13" customWidth="1"/>
  </cols>
  <sheetData>
    <row r="3" spans="2:7" ht="13.8" x14ac:dyDescent="0.25">
      <c r="B3" s="45" t="s">
        <v>287</v>
      </c>
      <c r="C3" s="45" t="str">
        <f>Sheet1!G25</f>
        <v>HR49H9873</v>
      </c>
    </row>
    <row r="6" spans="2:7" ht="13.2" x14ac:dyDescent="0.25">
      <c r="B6" s="9" t="s">
        <v>194</v>
      </c>
      <c r="C6" s="1"/>
      <c r="D6" s="1"/>
      <c r="E6" s="1"/>
      <c r="F6" s="1"/>
      <c r="G6" s="1"/>
    </row>
    <row r="7" spans="2:7" ht="13.2" x14ac:dyDescent="0.25">
      <c r="B7" s="1"/>
      <c r="C7" s="1"/>
      <c r="D7" s="1"/>
      <c r="E7" s="1"/>
      <c r="F7" s="1"/>
      <c r="G7" s="1"/>
    </row>
    <row r="8" spans="2:7" ht="13.2" x14ac:dyDescent="0.25">
      <c r="B8" s="146" t="s">
        <v>288</v>
      </c>
      <c r="C8" s="67" t="s">
        <v>289</v>
      </c>
      <c r="D8" s="147" t="s">
        <v>290</v>
      </c>
      <c r="E8" s="67" t="s">
        <v>291</v>
      </c>
      <c r="F8" s="67" t="s">
        <v>292</v>
      </c>
      <c r="G8" s="85" t="s">
        <v>232</v>
      </c>
    </row>
    <row r="9" spans="2:7" ht="13.2" x14ac:dyDescent="0.25">
      <c r="B9" s="157">
        <v>0.18</v>
      </c>
      <c r="C9" s="32">
        <f>Sheet1!G135+Sheet1!H135+Sheet1!I135</f>
        <v>3703.11</v>
      </c>
      <c r="D9" s="72">
        <f>9*C9/100</f>
        <v>333.2799</v>
      </c>
      <c r="E9" s="32">
        <f>D9</f>
        <v>333.2799</v>
      </c>
      <c r="F9" s="32">
        <v>0</v>
      </c>
      <c r="G9" s="54">
        <f>D9+E9</f>
        <v>666.5598</v>
      </c>
    </row>
    <row r="10" spans="2:7" ht="13.2" x14ac:dyDescent="0.25">
      <c r="B10" s="21" t="s">
        <v>293</v>
      </c>
      <c r="C10" s="83">
        <f>SUM(C9)</f>
        <v>3703.11</v>
      </c>
      <c r="D10" s="158">
        <f>SUM(D9)</f>
        <v>333.2799</v>
      </c>
      <c r="E10" s="83">
        <f>SUM(E9)</f>
        <v>333.2799</v>
      </c>
      <c r="F10" s="83">
        <v>0</v>
      </c>
      <c r="G10" s="82">
        <f>SUM(G9)</f>
        <v>666.5598</v>
      </c>
    </row>
    <row r="11" spans="2:7" ht="13.2" x14ac:dyDescent="0.25">
      <c r="B11" s="1"/>
      <c r="C11" s="1"/>
      <c r="D11" s="1"/>
      <c r="E11" s="1"/>
      <c r="F11" s="1"/>
      <c r="G11" s="1"/>
    </row>
    <row r="12" spans="2:7" ht="13.2" x14ac:dyDescent="0.25">
      <c r="B12" s="1"/>
      <c r="C12" s="1"/>
      <c r="D12" s="1"/>
      <c r="E12" s="1"/>
      <c r="F12" s="1"/>
      <c r="G12" s="1"/>
    </row>
    <row r="13" spans="2:7" ht="13.2" x14ac:dyDescent="0.25">
      <c r="B13" s="146" t="s">
        <v>182</v>
      </c>
      <c r="C13" s="67" t="s">
        <v>289</v>
      </c>
      <c r="D13" s="147" t="s">
        <v>290</v>
      </c>
      <c r="E13" s="67" t="s">
        <v>291</v>
      </c>
      <c r="F13" s="67" t="s">
        <v>292</v>
      </c>
      <c r="G13" s="85" t="s">
        <v>232</v>
      </c>
    </row>
    <row r="14" spans="2:7" ht="13.2" x14ac:dyDescent="0.25">
      <c r="B14" s="157" t="s">
        <v>294</v>
      </c>
      <c r="C14" s="32">
        <f>Sheet1!H164</f>
        <v>0</v>
      </c>
      <c r="D14" s="72">
        <f>9*C14/100</f>
        <v>0</v>
      </c>
      <c r="E14" s="32">
        <f>D14</f>
        <v>0</v>
      </c>
      <c r="F14" s="32">
        <v>0</v>
      </c>
      <c r="G14" s="54">
        <f>D14+E14</f>
        <v>0</v>
      </c>
    </row>
    <row r="15" spans="2:7" ht="13.2" x14ac:dyDescent="0.25">
      <c r="B15" s="21" t="s">
        <v>293</v>
      </c>
      <c r="C15" s="83">
        <f>SUM(C14)</f>
        <v>0</v>
      </c>
      <c r="D15" s="158">
        <f>SUM(D14)</f>
        <v>0</v>
      </c>
      <c r="E15" s="83">
        <f>SUM(E14)</f>
        <v>0</v>
      </c>
      <c r="F15" s="83">
        <v>0</v>
      </c>
      <c r="G15" s="82">
        <f>SUM(G14)</f>
        <v>0</v>
      </c>
    </row>
  </sheetData>
  <pageMargins left="0.69930599999999998" right="0.69930599999999998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C45A-F569-4510-932B-723A0AEEBA5D}">
  <dimension ref="A1"/>
  <sheetViews>
    <sheetView workbookViewId="0"/>
  </sheetViews>
  <sheetFormatPr defaultRowHeight="12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103"/>
  <sheetViews>
    <sheetView workbookViewId="0">
      <selection activeCell="P13" sqref="P13"/>
    </sheetView>
  </sheetViews>
  <sheetFormatPr defaultRowHeight="12" x14ac:dyDescent="0.25"/>
  <cols>
    <col min="1" max="1" width="5" customWidth="1"/>
    <col min="2" max="2" width="5.85546875" customWidth="1"/>
    <col min="3" max="5" width="9.28515625" customWidth="1"/>
    <col min="6" max="6" width="13.28515625" customWidth="1"/>
    <col min="7" max="7" width="16.140625" customWidth="1"/>
    <col min="8" max="8" width="9.28515625" customWidth="1"/>
    <col min="9" max="9" width="12.28515625" customWidth="1"/>
    <col min="10" max="10" width="9.28515625" customWidth="1"/>
    <col min="11" max="11" width="11.28515625" customWidth="1"/>
    <col min="12" max="257" width="9.28515625" customWidth="1"/>
  </cols>
  <sheetData>
    <row r="2" spans="2:16" ht="13.8" x14ac:dyDescent="0.25">
      <c r="B2" s="45" t="s">
        <v>0</v>
      </c>
      <c r="C2" s="1"/>
      <c r="D2" s="1"/>
      <c r="E2" s="1"/>
      <c r="F2" s="1"/>
      <c r="G2" s="1"/>
      <c r="H2" s="1"/>
      <c r="I2" s="1" t="s">
        <v>1</v>
      </c>
      <c r="J2" s="1"/>
      <c r="K2" s="1"/>
    </row>
    <row r="3" spans="2:16" ht="13.2" x14ac:dyDescent="0.25">
      <c r="B3" s="1" t="s">
        <v>2</v>
      </c>
      <c r="C3" s="3"/>
      <c r="D3" s="1"/>
      <c r="E3" s="1"/>
      <c r="F3" s="1"/>
      <c r="G3" s="1"/>
      <c r="H3" s="1"/>
      <c r="I3" s="1" t="s">
        <v>3</v>
      </c>
      <c r="J3" s="1"/>
      <c r="K3" s="1"/>
    </row>
    <row r="4" spans="2:16" ht="13.2" x14ac:dyDescent="0.25">
      <c r="B4" s="1" t="s">
        <v>4</v>
      </c>
      <c r="C4" s="1"/>
      <c r="D4" s="1"/>
      <c r="E4" s="1"/>
      <c r="F4" s="1"/>
      <c r="G4" s="1"/>
      <c r="H4" s="3"/>
      <c r="I4" s="1" t="s">
        <v>5</v>
      </c>
      <c r="J4" s="1"/>
      <c r="K4" s="1"/>
    </row>
    <row r="5" spans="2:16" ht="13.2" x14ac:dyDescent="0.25">
      <c r="B5" s="6" t="s">
        <v>6</v>
      </c>
      <c r="C5" s="6"/>
      <c r="D5" s="6"/>
      <c r="E5" s="6"/>
      <c r="F5" s="6"/>
      <c r="G5" s="6"/>
      <c r="H5" s="6"/>
      <c r="I5" s="6" t="s">
        <v>7</v>
      </c>
      <c r="J5" s="6"/>
      <c r="K5" s="6"/>
    </row>
    <row r="6" spans="2:16" ht="2.25" customHeight="1" x14ac:dyDescent="0.25">
      <c r="B6" s="44"/>
      <c r="C6" s="44"/>
      <c r="D6" s="44"/>
      <c r="E6" s="44"/>
      <c r="F6" s="44"/>
      <c r="G6" s="44"/>
      <c r="H6" s="44"/>
      <c r="I6" s="44"/>
      <c r="J6" s="44"/>
      <c r="K6" s="44"/>
    </row>
    <row r="7" spans="2:16" ht="13.2" x14ac:dyDescent="0.25">
      <c r="B7" s="1"/>
      <c r="C7" s="1"/>
      <c r="D7" s="1"/>
      <c r="E7" s="1"/>
      <c r="F7" s="1"/>
      <c r="G7" s="1"/>
      <c r="H7" s="1"/>
      <c r="I7" s="1"/>
      <c r="J7" s="1"/>
      <c r="K7" s="1"/>
    </row>
    <row r="8" spans="2:16" ht="13.2" x14ac:dyDescent="0.25">
      <c r="B8" s="3" t="s">
        <v>8</v>
      </c>
      <c r="C8" s="1" t="str">
        <f>Sheet1!C8</f>
        <v>SK/2025-26/OICL/9873</v>
      </c>
      <c r="D8" s="1"/>
      <c r="E8" s="1"/>
      <c r="F8" s="1"/>
      <c r="G8" s="1"/>
      <c r="H8" s="1"/>
      <c r="I8" s="1"/>
      <c r="J8" s="8" t="s">
        <v>10</v>
      </c>
      <c r="K8" s="173">
        <f>Sheet1!K8</f>
        <v>0</v>
      </c>
    </row>
    <row r="9" spans="2:16" ht="13.2" x14ac:dyDescent="0.25">
      <c r="B9" s="3"/>
      <c r="C9" s="1"/>
      <c r="D9" s="1"/>
      <c r="E9" s="1"/>
      <c r="F9" s="1"/>
      <c r="G9" s="1"/>
      <c r="H9" s="1"/>
      <c r="I9" s="1"/>
      <c r="J9" s="8"/>
      <c r="K9" s="174"/>
    </row>
    <row r="10" spans="2:16" ht="13.2" x14ac:dyDescent="0.25">
      <c r="B10" s="9" t="s">
        <v>295</v>
      </c>
      <c r="C10" s="1"/>
      <c r="D10" s="1"/>
      <c r="E10" s="1"/>
      <c r="F10" s="1"/>
      <c r="G10" s="1"/>
      <c r="H10" s="1"/>
      <c r="I10" s="1"/>
      <c r="J10" s="1"/>
      <c r="K10" s="1"/>
    </row>
    <row r="11" spans="2:16" ht="30" customHeight="1" x14ac:dyDescent="0.25">
      <c r="B11" s="187" t="s">
        <v>12</v>
      </c>
      <c r="C11" s="201"/>
      <c r="D11" s="201"/>
      <c r="E11" s="201"/>
      <c r="F11" s="201"/>
      <c r="G11" s="201"/>
      <c r="H11" s="201"/>
      <c r="I11" s="201"/>
      <c r="J11" s="201"/>
      <c r="K11" s="201"/>
    </row>
    <row r="13" spans="2:16" ht="13.2" x14ac:dyDescent="0.25">
      <c r="B13" s="161" t="s">
        <v>296</v>
      </c>
      <c r="C13" s="162"/>
      <c r="D13" s="162"/>
      <c r="E13" s="162"/>
      <c r="F13" s="162"/>
      <c r="G13" s="162"/>
      <c r="H13" s="162"/>
      <c r="I13" s="162"/>
      <c r="J13" s="162"/>
      <c r="K13" s="1"/>
      <c r="O13" t="s">
        <v>329</v>
      </c>
      <c r="P13">
        <v>1500</v>
      </c>
    </row>
    <row r="14" spans="2:16" ht="12.75" customHeight="1" x14ac:dyDescent="0.25">
      <c r="B14" s="1"/>
      <c r="C14" s="162"/>
      <c r="D14" s="162"/>
      <c r="E14" s="162"/>
      <c r="F14" s="162"/>
      <c r="G14" s="162"/>
      <c r="H14" s="162"/>
      <c r="I14" s="162"/>
      <c r="J14" s="162"/>
      <c r="K14" s="1"/>
    </row>
    <row r="15" spans="2:16" ht="13.2" x14ac:dyDescent="0.25">
      <c r="B15" s="1"/>
      <c r="C15" s="162"/>
      <c r="D15" s="162"/>
      <c r="E15" s="162"/>
      <c r="F15" s="162"/>
      <c r="G15" s="162"/>
      <c r="H15" s="162"/>
      <c r="I15" s="162"/>
      <c r="J15" s="162"/>
      <c r="K15" s="1"/>
    </row>
    <row r="16" spans="2:16" ht="13.2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ht="13.2" x14ac:dyDescent="0.25">
      <c r="B17" s="1" t="s">
        <v>297</v>
      </c>
      <c r="C17" s="1" t="s">
        <v>298</v>
      </c>
      <c r="D17" s="3"/>
      <c r="E17" s="3" t="str">
        <f>Sheet1!G25</f>
        <v>HR49H9873</v>
      </c>
      <c r="F17" s="1"/>
      <c r="G17" s="1"/>
      <c r="H17" s="1"/>
      <c r="I17" s="1"/>
      <c r="J17" s="1"/>
      <c r="K17" s="1"/>
    </row>
    <row r="18" spans="2:11" ht="13.2" x14ac:dyDescent="0.25">
      <c r="B18" s="1"/>
      <c r="C18" s="1" t="s">
        <v>299</v>
      </c>
      <c r="D18" s="1" t="str">
        <f>Sheet1!G18</f>
        <v>NA</v>
      </c>
      <c r="E18" s="3"/>
      <c r="F18" s="1"/>
      <c r="G18" s="1"/>
      <c r="H18" s="1" t="s">
        <v>300</v>
      </c>
      <c r="I18" s="1"/>
      <c r="J18" s="1">
        <f>Sheet1!N57</f>
        <v>0</v>
      </c>
      <c r="K18" s="1"/>
    </row>
    <row r="19" spans="2:11" ht="13.2" x14ac:dyDescent="0.25">
      <c r="B19" s="1"/>
      <c r="C19" s="1" t="s">
        <v>301</v>
      </c>
      <c r="D19" s="10" t="str">
        <f>Sheet1!G16</f>
        <v>NA</v>
      </c>
      <c r="E19" s="1"/>
      <c r="F19" s="1"/>
      <c r="G19" s="8" t="s">
        <v>21</v>
      </c>
      <c r="H19" s="1" t="str">
        <f>Sheet1!K16</f>
        <v>NA</v>
      </c>
      <c r="I19" s="1"/>
      <c r="J19" s="1"/>
      <c r="K19" s="1"/>
    </row>
    <row r="20" spans="2:11" ht="13.2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ht="13.2" x14ac:dyDescent="0.25">
      <c r="B21" s="1" t="s">
        <v>302</v>
      </c>
      <c r="C21" s="1"/>
      <c r="D21" s="1"/>
      <c r="E21" s="1"/>
      <c r="F21" s="1"/>
      <c r="G21" s="1"/>
      <c r="H21" s="1"/>
      <c r="I21" s="1"/>
      <c r="J21" s="1"/>
      <c r="K21" s="1"/>
    </row>
    <row r="22" spans="2:11" ht="41.25" customHeight="1" x14ac:dyDescent="0.25">
      <c r="B22" s="187"/>
      <c r="C22" s="201"/>
      <c r="D22" s="201"/>
      <c r="E22" s="201"/>
      <c r="F22" s="201"/>
      <c r="G22" s="201"/>
      <c r="H22" s="201"/>
      <c r="I22" s="201"/>
      <c r="J22" s="201"/>
      <c r="K22" s="1"/>
    </row>
    <row r="23" spans="2:11" ht="13.2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ht="13.2" x14ac:dyDescent="0.25">
      <c r="B24" s="3" t="s">
        <v>303</v>
      </c>
      <c r="C24" s="1"/>
      <c r="D24" s="1"/>
      <c r="E24" s="1"/>
      <c r="F24" s="1"/>
      <c r="G24" s="1"/>
      <c r="H24" s="1"/>
      <c r="I24" s="1"/>
      <c r="J24" s="1"/>
      <c r="K24" s="1"/>
    </row>
    <row r="25" spans="2:11" ht="13.2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ht="13.2" x14ac:dyDescent="0.25">
      <c r="B26" s="10">
        <v>1</v>
      </c>
      <c r="C26" s="1" t="s">
        <v>304</v>
      </c>
      <c r="D26" s="1"/>
      <c r="E26" s="1"/>
      <c r="F26" s="1"/>
      <c r="G26" s="1"/>
      <c r="H26" s="1"/>
      <c r="I26" s="1"/>
      <c r="J26" s="1"/>
      <c r="K26" s="1"/>
    </row>
    <row r="27" spans="2:11" ht="13.2" x14ac:dyDescent="0.25">
      <c r="B27" s="1"/>
      <c r="C27" s="1" t="s">
        <v>305</v>
      </c>
      <c r="D27" s="1"/>
      <c r="E27" s="1"/>
      <c r="F27" s="1"/>
      <c r="G27" s="1"/>
      <c r="H27" s="1"/>
      <c r="I27" s="1"/>
      <c r="J27" s="1"/>
      <c r="K27" s="1"/>
    </row>
    <row r="28" spans="2:11" ht="13.2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 ht="13.2" x14ac:dyDescent="0.25">
      <c r="B29" s="63" t="s">
        <v>135</v>
      </c>
      <c r="C29" s="64" t="s">
        <v>306</v>
      </c>
      <c r="D29" s="64"/>
      <c r="E29" s="64"/>
      <c r="F29" s="163" t="s">
        <v>307</v>
      </c>
      <c r="G29" s="164" t="s">
        <v>308</v>
      </c>
      <c r="H29" s="1"/>
      <c r="I29" s="1"/>
      <c r="J29" s="1"/>
      <c r="K29" s="1"/>
    </row>
    <row r="30" spans="2:11" ht="13.2" x14ac:dyDescent="0.25">
      <c r="B30" s="97"/>
      <c r="C30" s="1"/>
      <c r="D30" s="1"/>
      <c r="E30" s="4"/>
      <c r="F30" s="23"/>
      <c r="G30" s="23"/>
      <c r="H30" s="165"/>
      <c r="I30" s="1"/>
      <c r="J30" s="1"/>
      <c r="K30" s="1"/>
    </row>
    <row r="31" spans="2:11" ht="13.2" x14ac:dyDescent="0.25">
      <c r="B31" s="166"/>
      <c r="C31" s="18"/>
      <c r="D31" s="18"/>
      <c r="E31" s="20"/>
      <c r="F31" s="54"/>
      <c r="G31" s="54"/>
      <c r="H31" s="165"/>
      <c r="I31" s="1"/>
      <c r="J31" s="1"/>
      <c r="K31" s="1"/>
    </row>
    <row r="32" spans="2:11" ht="13.2" x14ac:dyDescent="0.25">
      <c r="B32" s="68"/>
      <c r="C32" s="1"/>
      <c r="D32" s="1"/>
      <c r="E32" s="4"/>
      <c r="F32" s="23"/>
      <c r="G32" s="23"/>
      <c r="H32" s="165"/>
      <c r="I32" s="1"/>
      <c r="J32" s="1"/>
      <c r="K32" s="1"/>
    </row>
    <row r="33" spans="2:11" ht="13.2" x14ac:dyDescent="0.25">
      <c r="B33" s="166"/>
      <c r="C33" s="18"/>
      <c r="D33" s="18"/>
      <c r="E33" s="20"/>
      <c r="F33" s="54"/>
      <c r="G33" s="54"/>
      <c r="H33" s="165"/>
      <c r="I33" s="1"/>
      <c r="J33" s="1"/>
      <c r="K33" s="1"/>
    </row>
    <row r="34" spans="2:11" ht="13.2" x14ac:dyDescent="0.25">
      <c r="B34" s="68"/>
      <c r="C34" s="1"/>
      <c r="D34" s="1"/>
      <c r="E34" s="4"/>
      <c r="F34" s="23"/>
      <c r="G34" s="23"/>
      <c r="H34" s="165"/>
      <c r="I34" s="1"/>
      <c r="J34" s="1"/>
      <c r="K34" s="1"/>
    </row>
    <row r="35" spans="2:11" ht="13.2" x14ac:dyDescent="0.25">
      <c r="B35" s="166"/>
      <c r="C35" s="18"/>
      <c r="D35" s="18"/>
      <c r="E35" s="20"/>
      <c r="F35" s="54"/>
      <c r="G35" s="54"/>
      <c r="H35" s="165"/>
      <c r="I35" s="1"/>
      <c r="J35" s="1"/>
      <c r="K35" s="1"/>
    </row>
    <row r="36" spans="2:11" ht="13.2" x14ac:dyDescent="0.25">
      <c r="B36" s="68"/>
      <c r="C36" s="1"/>
      <c r="D36" s="1"/>
      <c r="E36" s="4"/>
      <c r="F36" s="23"/>
      <c r="G36" s="23"/>
      <c r="H36" s="165"/>
      <c r="I36" s="1"/>
      <c r="J36" s="1"/>
      <c r="K36" s="1"/>
    </row>
    <row r="37" spans="2:11" ht="13.2" x14ac:dyDescent="0.25">
      <c r="B37" s="166"/>
      <c r="C37" s="18"/>
      <c r="D37" s="18"/>
      <c r="E37" s="20"/>
      <c r="F37" s="54"/>
      <c r="G37" s="54"/>
      <c r="H37" s="165"/>
      <c r="I37" s="1"/>
      <c r="J37" s="1"/>
      <c r="K37" s="1"/>
    </row>
    <row r="38" spans="2:11" ht="13.2" x14ac:dyDescent="0.25">
      <c r="B38" s="68"/>
      <c r="C38" s="1"/>
      <c r="D38" s="1"/>
      <c r="E38" s="4"/>
      <c r="F38" s="23"/>
      <c r="G38" s="23"/>
      <c r="H38" s="165"/>
      <c r="I38" s="1"/>
      <c r="J38" s="1"/>
      <c r="K38" s="1"/>
    </row>
    <row r="39" spans="2:11" ht="13.2" x14ac:dyDescent="0.25">
      <c r="B39" s="166"/>
      <c r="C39" s="18"/>
      <c r="D39" s="18"/>
      <c r="E39" s="20"/>
      <c r="F39" s="54"/>
      <c r="G39" s="54"/>
      <c r="H39" s="165"/>
      <c r="I39" s="1"/>
      <c r="J39" s="1"/>
      <c r="K39" s="1"/>
    </row>
    <row r="40" spans="2:11" ht="13.2" x14ac:dyDescent="0.25">
      <c r="B40" s="68"/>
      <c r="C40" s="1"/>
      <c r="D40" s="1"/>
      <c r="E40" s="4"/>
      <c r="F40" s="23"/>
      <c r="G40" s="23"/>
      <c r="H40" s="165"/>
      <c r="I40" s="1"/>
      <c r="J40" s="1"/>
      <c r="K40" s="1"/>
    </row>
    <row r="41" spans="2:11" ht="13.2" x14ac:dyDescent="0.25">
      <c r="B41" s="166"/>
      <c r="C41" s="18"/>
      <c r="D41" s="18"/>
      <c r="E41" s="20"/>
      <c r="F41" s="54"/>
      <c r="G41" s="54"/>
      <c r="H41" s="165"/>
      <c r="I41" s="1"/>
      <c r="J41" s="1"/>
      <c r="K41" s="1"/>
    </row>
    <row r="42" spans="2:11" ht="13.2" x14ac:dyDescent="0.25">
      <c r="B42" s="68"/>
      <c r="C42" s="1"/>
      <c r="D42" s="1"/>
      <c r="E42" s="4"/>
      <c r="F42" s="23"/>
      <c r="G42" s="23"/>
      <c r="H42" s="165"/>
      <c r="I42" s="1"/>
      <c r="J42" s="1"/>
      <c r="K42" s="1"/>
    </row>
    <row r="43" spans="2:11" ht="13.2" x14ac:dyDescent="0.25">
      <c r="B43" s="166"/>
      <c r="C43" s="18"/>
      <c r="D43" s="18"/>
      <c r="E43" s="20"/>
      <c r="F43" s="54"/>
      <c r="G43" s="54"/>
      <c r="H43" s="165"/>
      <c r="I43" s="1"/>
      <c r="J43" s="1"/>
      <c r="K43" s="1"/>
    </row>
    <row r="44" spans="2:11" ht="13.2" x14ac:dyDescent="0.25">
      <c r="B44" s="68"/>
      <c r="C44" s="1"/>
      <c r="D44" s="1"/>
      <c r="E44" s="4"/>
      <c r="F44" s="23"/>
      <c r="G44" s="23"/>
      <c r="H44" s="165"/>
      <c r="I44" s="1"/>
      <c r="J44" s="1"/>
      <c r="K44" s="1"/>
    </row>
    <row r="45" spans="2:11" ht="13.2" x14ac:dyDescent="0.25">
      <c r="B45" s="166"/>
      <c r="C45" s="18"/>
      <c r="D45" s="18"/>
      <c r="E45" s="20"/>
      <c r="F45" s="54"/>
      <c r="G45" s="54"/>
      <c r="H45" s="165"/>
      <c r="I45" s="1"/>
      <c r="J45" s="1"/>
      <c r="K45" s="1"/>
    </row>
    <row r="46" spans="2:11" ht="13.2" x14ac:dyDescent="0.25">
      <c r="B46" s="68"/>
      <c r="C46" s="1"/>
      <c r="D46" s="1"/>
      <c r="E46" s="4"/>
      <c r="F46" s="23"/>
      <c r="G46" s="23"/>
      <c r="H46" s="165"/>
      <c r="I46" s="1"/>
      <c r="J46" s="1"/>
      <c r="K46" s="1"/>
    </row>
    <row r="47" spans="2:11" ht="13.2" x14ac:dyDescent="0.25">
      <c r="B47" s="166"/>
      <c r="C47" s="18"/>
      <c r="D47" s="18"/>
      <c r="E47" s="20"/>
      <c r="F47" s="54"/>
      <c r="G47" s="54"/>
      <c r="H47" s="165"/>
      <c r="I47" s="1"/>
      <c r="J47" s="1"/>
      <c r="K47" s="1"/>
    </row>
    <row r="48" spans="2:11" ht="13.2" x14ac:dyDescent="0.25">
      <c r="B48" s="68"/>
      <c r="C48" s="18"/>
      <c r="D48" s="18"/>
      <c r="E48" s="20"/>
      <c r="F48" s="54"/>
      <c r="G48" s="54"/>
      <c r="H48" s="165"/>
      <c r="I48" s="1"/>
      <c r="J48" s="1"/>
      <c r="K48" s="1"/>
    </row>
    <row r="49" spans="2:11" ht="13.2" x14ac:dyDescent="0.25">
      <c r="B49" s="166"/>
      <c r="C49" s="18"/>
      <c r="D49" s="18"/>
      <c r="E49" s="20"/>
      <c r="F49" s="54"/>
      <c r="G49" s="54"/>
      <c r="H49" s="165"/>
      <c r="I49" s="1"/>
      <c r="J49" s="1"/>
      <c r="K49" s="1"/>
    </row>
    <row r="50" spans="2:11" ht="13.2" x14ac:dyDescent="0.25">
      <c r="B50" s="68"/>
      <c r="C50" s="1"/>
      <c r="D50" s="1"/>
      <c r="E50" s="4"/>
      <c r="F50" s="23"/>
      <c r="G50" s="23"/>
      <c r="H50" s="165"/>
      <c r="I50" s="1"/>
      <c r="J50" s="1"/>
      <c r="K50" s="1"/>
    </row>
    <row r="51" spans="2:11" ht="13.2" x14ac:dyDescent="0.25">
      <c r="B51" s="166"/>
      <c r="C51" s="18"/>
      <c r="D51" s="18"/>
      <c r="E51" s="20"/>
      <c r="F51" s="54"/>
      <c r="G51" s="54"/>
      <c r="H51" s="165"/>
      <c r="I51" s="1"/>
      <c r="J51" s="1"/>
      <c r="K51" s="1"/>
    </row>
    <row r="52" spans="2:11" ht="13.2" x14ac:dyDescent="0.25">
      <c r="B52" s="68"/>
      <c r="C52" s="1"/>
      <c r="D52" s="1"/>
      <c r="E52" s="4"/>
      <c r="F52" s="23"/>
      <c r="G52" s="23"/>
      <c r="H52" s="165"/>
      <c r="I52" s="1"/>
      <c r="J52" s="1"/>
      <c r="K52" s="1"/>
    </row>
    <row r="53" spans="2:11" ht="13.2" x14ac:dyDescent="0.25">
      <c r="B53" s="166"/>
      <c r="C53" s="18"/>
      <c r="D53" s="18"/>
      <c r="E53" s="20"/>
      <c r="F53" s="54"/>
      <c r="G53" s="54"/>
      <c r="H53" s="165"/>
      <c r="I53" s="1"/>
      <c r="J53" s="1"/>
      <c r="K53" s="1"/>
    </row>
    <row r="54" spans="2:11" ht="13.2" x14ac:dyDescent="0.25">
      <c r="B54" s="68"/>
      <c r="C54" s="1"/>
      <c r="D54" s="1"/>
      <c r="E54" s="4"/>
      <c r="F54" s="23"/>
      <c r="G54" s="23"/>
      <c r="H54" s="165"/>
      <c r="I54" s="1"/>
      <c r="J54" s="1"/>
      <c r="K54" s="1"/>
    </row>
    <row r="55" spans="2:11" ht="13.2" x14ac:dyDescent="0.25">
      <c r="B55" s="166"/>
      <c r="C55" s="18"/>
      <c r="D55" s="18"/>
      <c r="E55" s="20"/>
      <c r="F55" s="54"/>
      <c r="G55" s="54"/>
      <c r="H55" s="165"/>
      <c r="I55" s="1"/>
      <c r="J55" s="1"/>
      <c r="K55" s="1"/>
    </row>
    <row r="56" spans="2:11" ht="13.2" x14ac:dyDescent="0.25">
      <c r="B56" s="68"/>
      <c r="C56" s="1"/>
      <c r="D56" s="1"/>
      <c r="E56" s="4"/>
      <c r="F56" s="23"/>
      <c r="G56" s="23"/>
      <c r="H56" s="165"/>
      <c r="I56" s="1"/>
      <c r="J56" s="1"/>
      <c r="K56" s="1"/>
    </row>
    <row r="57" spans="2:11" ht="13.2" x14ac:dyDescent="0.25">
      <c r="B57" s="166"/>
      <c r="C57" s="18"/>
      <c r="D57" s="18"/>
      <c r="E57" s="20"/>
      <c r="F57" s="54"/>
      <c r="G57" s="54"/>
      <c r="H57" s="165"/>
      <c r="I57" s="1"/>
      <c r="J57" s="1"/>
      <c r="K57" s="1"/>
    </row>
    <row r="58" spans="2:11" ht="13.2" x14ac:dyDescent="0.25">
      <c r="B58" s="12"/>
      <c r="C58" s="1"/>
      <c r="D58" s="1"/>
      <c r="E58" s="1"/>
      <c r="F58" s="1"/>
      <c r="G58" s="1"/>
      <c r="H58" s="1"/>
      <c r="I58" s="1"/>
      <c r="J58" s="1"/>
      <c r="K58" s="1"/>
    </row>
    <row r="59" spans="2:11" ht="13.2" x14ac:dyDescent="0.25">
      <c r="B59" s="10">
        <v>2</v>
      </c>
      <c r="C59" s="3" t="s">
        <v>309</v>
      </c>
      <c r="D59" s="1"/>
      <c r="E59" s="1"/>
      <c r="F59" s="165"/>
      <c r="G59" s="165"/>
      <c r="H59" s="29"/>
      <c r="I59" s="29"/>
      <c r="J59" s="1"/>
      <c r="K59" s="1"/>
    </row>
    <row r="60" spans="2:11" ht="13.2" x14ac:dyDescent="0.25">
      <c r="B60" s="12"/>
      <c r="C60" s="1"/>
      <c r="D60" s="1"/>
      <c r="E60" s="1"/>
      <c r="F60" s="29"/>
      <c r="G60" s="167"/>
      <c r="H60" s="29"/>
      <c r="I60" s="29"/>
      <c r="J60" s="1"/>
      <c r="K60" s="1"/>
    </row>
    <row r="61" spans="2:11" ht="13.2" x14ac:dyDescent="0.25">
      <c r="B61" s="15"/>
      <c r="C61" s="15"/>
      <c r="D61" s="15"/>
      <c r="E61" s="15"/>
      <c r="F61" s="15"/>
      <c r="G61" s="15"/>
      <c r="H61" s="15"/>
      <c r="I61" s="15"/>
      <c r="J61" s="15"/>
      <c r="K61" s="1"/>
    </row>
    <row r="62" spans="2:11" ht="13.2" x14ac:dyDescent="0.25">
      <c r="B62" s="10">
        <v>3</v>
      </c>
      <c r="C62" s="3" t="s">
        <v>310</v>
      </c>
      <c r="D62" s="1"/>
      <c r="E62" s="1"/>
      <c r="F62" s="29"/>
      <c r="G62" s="167"/>
      <c r="H62" s="29"/>
      <c r="I62" s="29"/>
      <c r="J62" s="1"/>
      <c r="K62" s="1"/>
    </row>
    <row r="63" spans="2:11" ht="13.2" x14ac:dyDescent="0.25">
      <c r="B63" s="12"/>
      <c r="C63" s="1"/>
      <c r="D63" s="1"/>
      <c r="E63" s="1"/>
      <c r="F63" s="29"/>
      <c r="G63" s="167"/>
      <c r="H63" s="29"/>
      <c r="I63" s="29"/>
      <c r="J63" s="1"/>
      <c r="K63" s="1"/>
    </row>
    <row r="64" spans="2:11" ht="13.2" x14ac:dyDescent="0.25">
      <c r="B64" s="1"/>
      <c r="C64" s="1"/>
      <c r="D64" s="1"/>
      <c r="E64" s="1"/>
      <c r="F64" s="1"/>
      <c r="G64" s="1"/>
      <c r="H64" s="165"/>
      <c r="I64" s="1"/>
      <c r="J64" s="1"/>
      <c r="K64" s="1"/>
    </row>
    <row r="65" spans="2:11" ht="13.2" x14ac:dyDescent="0.25">
      <c r="B65" s="16"/>
      <c r="C65" s="16"/>
      <c r="D65" s="16"/>
      <c r="E65" s="16"/>
      <c r="F65" s="16"/>
      <c r="G65" s="16"/>
      <c r="H65" s="16"/>
      <c r="I65" s="16"/>
      <c r="J65" s="16"/>
      <c r="K65" s="1"/>
    </row>
    <row r="66" spans="2:11" ht="13.2" x14ac:dyDescent="0.25">
      <c r="B66" s="16"/>
      <c r="C66" s="16"/>
      <c r="D66" s="16"/>
      <c r="E66" s="16"/>
      <c r="F66" s="16"/>
      <c r="G66" s="16"/>
      <c r="H66" s="16"/>
      <c r="I66" s="16"/>
      <c r="J66" s="16"/>
      <c r="K66" s="1"/>
    </row>
    <row r="67" spans="2:11" ht="13.2" x14ac:dyDescent="0.25">
      <c r="B67" s="16"/>
      <c r="C67" s="16"/>
      <c r="D67" s="16"/>
      <c r="E67" s="16"/>
      <c r="F67" s="16"/>
      <c r="G67" s="16"/>
      <c r="H67" s="16"/>
      <c r="I67" s="16"/>
      <c r="J67" s="16"/>
      <c r="K67" s="1"/>
    </row>
    <row r="68" spans="2:11" ht="13.2" x14ac:dyDescent="0.25">
      <c r="B68" s="16"/>
      <c r="C68" s="16"/>
      <c r="D68" s="16"/>
      <c r="E68" s="16"/>
      <c r="F68" s="16"/>
      <c r="G68" s="16"/>
      <c r="H68" s="16"/>
      <c r="I68" s="16"/>
      <c r="J68" s="16"/>
      <c r="K68" s="1"/>
    </row>
    <row r="69" spans="2:11" ht="13.2" x14ac:dyDescent="0.25">
      <c r="B69" s="16"/>
      <c r="C69" s="16"/>
      <c r="D69" s="16"/>
      <c r="E69" s="16"/>
      <c r="F69" s="16"/>
      <c r="G69" s="16"/>
      <c r="H69" s="16"/>
      <c r="I69" s="16"/>
      <c r="J69" s="16"/>
      <c r="K69" s="1"/>
    </row>
    <row r="70" spans="2:11" ht="13.2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"/>
    </row>
    <row r="71" spans="2:11" ht="13.2" x14ac:dyDescent="0.25">
      <c r="B71" s="16"/>
      <c r="C71" s="16"/>
      <c r="D71" s="16"/>
      <c r="E71" s="16"/>
      <c r="F71" s="16"/>
      <c r="G71" s="16"/>
      <c r="H71" s="16"/>
      <c r="I71" s="16"/>
      <c r="J71" s="16"/>
      <c r="K71" s="1"/>
    </row>
    <row r="72" spans="2:11" ht="13.2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"/>
    </row>
    <row r="73" spans="2:11" ht="13.2" x14ac:dyDescent="0.25">
      <c r="B73" s="16"/>
      <c r="C73" s="16"/>
      <c r="D73" s="16"/>
      <c r="E73" s="16"/>
      <c r="F73" s="16"/>
      <c r="G73" s="16"/>
      <c r="H73" s="16"/>
      <c r="I73" s="16"/>
      <c r="J73" s="16"/>
      <c r="K73" s="1"/>
    </row>
    <row r="74" spans="2:11" ht="13.2" x14ac:dyDescent="0.25">
      <c r="B74" s="16"/>
      <c r="C74" s="16"/>
      <c r="D74" s="16"/>
      <c r="E74" s="16"/>
      <c r="F74" s="16"/>
      <c r="G74" s="16"/>
      <c r="H74" s="16"/>
      <c r="I74" s="16"/>
      <c r="J74" s="16"/>
      <c r="K74" s="1"/>
    </row>
    <row r="75" spans="2:11" ht="13.2" x14ac:dyDescent="0.25">
      <c r="B75" s="168">
        <v>4</v>
      </c>
      <c r="C75" s="203" t="s">
        <v>307</v>
      </c>
      <c r="D75" s="201"/>
      <c r="E75" s="15"/>
      <c r="F75" s="15"/>
      <c r="G75" s="15"/>
      <c r="H75" s="15"/>
      <c r="I75" s="15"/>
      <c r="J75" s="15"/>
      <c r="K75" s="1"/>
    </row>
    <row r="76" spans="2:11" ht="32.25" customHeight="1" x14ac:dyDescent="0.25">
      <c r="B76" s="16"/>
      <c r="C76" s="187"/>
      <c r="D76" s="201"/>
      <c r="E76" s="201"/>
      <c r="F76" s="201"/>
      <c r="G76" s="201"/>
      <c r="H76" s="201"/>
      <c r="I76" s="201"/>
      <c r="J76" s="201"/>
      <c r="K76" s="1"/>
    </row>
    <row r="77" spans="2:11" ht="13.2" x14ac:dyDescent="0.25">
      <c r="B77" s="16"/>
      <c r="C77" s="16"/>
      <c r="D77" s="16"/>
      <c r="E77" s="16"/>
      <c r="F77" s="16"/>
      <c r="G77" s="16"/>
      <c r="H77" s="16"/>
      <c r="I77" s="16"/>
      <c r="J77" s="16"/>
      <c r="K77" s="1"/>
    </row>
    <row r="78" spans="2:11" ht="13.2" x14ac:dyDescent="0.25">
      <c r="B78" s="187" t="s">
        <v>311</v>
      </c>
      <c r="C78" s="201"/>
      <c r="D78" s="201"/>
      <c r="E78" s="201"/>
      <c r="F78" s="201"/>
      <c r="G78" s="201"/>
      <c r="H78" s="16"/>
      <c r="I78" s="16"/>
      <c r="J78" s="16"/>
      <c r="K78" s="1"/>
    </row>
    <row r="79" spans="2:11" ht="13.2" x14ac:dyDescent="0.25">
      <c r="B79" s="3"/>
      <c r="C79" s="1"/>
      <c r="D79" s="1"/>
      <c r="E79" s="1"/>
      <c r="F79" s="1"/>
      <c r="G79" s="1"/>
      <c r="H79" s="1"/>
      <c r="I79" s="1"/>
      <c r="J79" s="1"/>
      <c r="K79" s="1"/>
    </row>
    <row r="80" spans="2:11" ht="13.2" x14ac:dyDescent="0.25">
      <c r="B80" s="1" t="s">
        <v>312</v>
      </c>
      <c r="C80" s="1"/>
      <c r="D80" s="1"/>
      <c r="E80" s="1"/>
      <c r="F80" s="1"/>
      <c r="G80" s="1"/>
      <c r="H80" s="1"/>
      <c r="I80" s="1"/>
      <c r="J80" s="1"/>
      <c r="K80" s="1"/>
    </row>
    <row r="81" spans="2:11" ht="13.2" x14ac:dyDescent="0.25">
      <c r="B81" s="3"/>
      <c r="C81" s="1"/>
      <c r="D81" s="1"/>
      <c r="E81" s="1"/>
      <c r="F81" s="1"/>
      <c r="G81" s="1"/>
      <c r="H81" s="1"/>
      <c r="I81" s="1"/>
      <c r="J81" s="1"/>
      <c r="K81" s="1"/>
    </row>
    <row r="82" spans="2:11" ht="13.2" x14ac:dyDescent="0.25">
      <c r="B82" s="3"/>
      <c r="C82" s="1"/>
      <c r="D82" s="1"/>
      <c r="E82" s="1"/>
      <c r="F82" s="1"/>
      <c r="G82" s="1"/>
      <c r="H82" s="1"/>
      <c r="I82" s="1"/>
      <c r="J82" s="1"/>
      <c r="K82" s="1"/>
    </row>
    <row r="83" spans="2:11" ht="13.2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2:11" ht="13.2" x14ac:dyDescent="0.25">
      <c r="B84" s="3" t="s">
        <v>0</v>
      </c>
      <c r="C84" s="1"/>
      <c r="D84" s="1"/>
      <c r="E84" s="1"/>
      <c r="F84" s="1"/>
      <c r="G84" s="1"/>
      <c r="H84" s="1"/>
      <c r="I84" s="1"/>
      <c r="J84" s="1"/>
      <c r="K84" s="1"/>
    </row>
    <row r="85" spans="2:11" ht="13.2" x14ac:dyDescent="0.25">
      <c r="B85" s="3"/>
      <c r="C85" s="1"/>
      <c r="D85" s="1"/>
      <c r="E85" s="1"/>
      <c r="F85" s="1"/>
      <c r="G85" s="1"/>
      <c r="H85" s="1"/>
      <c r="I85" s="1"/>
      <c r="J85" s="1"/>
      <c r="K85" s="1"/>
    </row>
    <row r="86" spans="2:11" ht="13.2" x14ac:dyDescent="0.25">
      <c r="B86" s="3"/>
      <c r="C86" s="1"/>
      <c r="D86" s="1"/>
      <c r="E86" s="1"/>
      <c r="F86" s="1"/>
      <c r="G86" s="1"/>
      <c r="H86" s="1"/>
      <c r="I86" s="1"/>
      <c r="J86" s="1"/>
      <c r="K86" s="1"/>
    </row>
    <row r="87" spans="2:11" ht="13.2" x14ac:dyDescent="0.25">
      <c r="B87" s="3" t="s">
        <v>313</v>
      </c>
      <c r="C87" s="1"/>
      <c r="D87" s="1"/>
      <c r="E87" s="1"/>
      <c r="F87" s="1"/>
      <c r="G87" s="1"/>
      <c r="H87" s="1"/>
      <c r="I87" s="1"/>
      <c r="J87" s="1"/>
      <c r="K87" s="1"/>
    </row>
    <row r="88" spans="2:11" ht="13.2" x14ac:dyDescent="0.25">
      <c r="B88" s="1">
        <v>1</v>
      </c>
      <c r="C88" s="1" t="s">
        <v>314</v>
      </c>
      <c r="D88" s="1"/>
      <c r="E88" s="1"/>
      <c r="F88" s="1"/>
      <c r="G88" s="1"/>
      <c r="H88" s="1"/>
      <c r="I88" s="1"/>
      <c r="J88" s="1"/>
      <c r="K88" s="1"/>
    </row>
    <row r="89" spans="2:11" ht="13.2" x14ac:dyDescent="0.25">
      <c r="B89" s="1">
        <v>2</v>
      </c>
      <c r="C89" s="1" t="s">
        <v>315</v>
      </c>
      <c r="D89" s="1"/>
      <c r="E89" s="1"/>
      <c r="F89" s="1"/>
      <c r="G89" s="1"/>
      <c r="H89" s="1"/>
      <c r="I89" s="1"/>
      <c r="J89" s="1"/>
      <c r="K89" s="1"/>
    </row>
    <row r="90" spans="2:11" ht="13.2" x14ac:dyDescent="0.25">
      <c r="B90" s="1">
        <v>3</v>
      </c>
      <c r="C90" s="1" t="s">
        <v>316</v>
      </c>
      <c r="D90" s="1"/>
      <c r="E90" s="1"/>
      <c r="F90" s="1"/>
      <c r="G90" s="1"/>
      <c r="H90" s="1"/>
      <c r="I90" s="1"/>
      <c r="J90" s="1"/>
      <c r="K90" s="1"/>
    </row>
    <row r="91" spans="2:11" ht="13.2" x14ac:dyDescent="0.25">
      <c r="B91" s="3"/>
      <c r="C91" s="1"/>
      <c r="D91" s="1"/>
      <c r="E91" s="1"/>
      <c r="F91" s="1"/>
      <c r="G91" s="1"/>
      <c r="H91" s="1"/>
      <c r="I91" s="1"/>
      <c r="J91" s="1"/>
      <c r="K91" s="1"/>
    </row>
    <row r="92" spans="2:11" ht="13.2" x14ac:dyDescent="0.25">
      <c r="B92" s="1" t="s">
        <v>317</v>
      </c>
      <c r="C92" s="1"/>
      <c r="D92" s="1"/>
      <c r="E92" s="1"/>
      <c r="F92" s="1"/>
      <c r="G92" s="1"/>
      <c r="H92" s="1"/>
      <c r="I92" s="1"/>
      <c r="J92" s="1"/>
      <c r="K92" s="1"/>
    </row>
    <row r="93" spans="2:11" ht="13.2" x14ac:dyDescent="0.25">
      <c r="B93" s="3"/>
      <c r="C93" s="1"/>
      <c r="D93" s="1"/>
      <c r="E93" s="1"/>
      <c r="F93" s="1"/>
      <c r="G93" s="1"/>
      <c r="H93" s="1"/>
      <c r="I93" s="1"/>
      <c r="J93" s="1"/>
      <c r="K93" s="1"/>
    </row>
    <row r="94" spans="2:11" ht="13.2" x14ac:dyDescent="0.25">
      <c r="B94" s="1" t="s">
        <v>318</v>
      </c>
      <c r="C94" s="1"/>
      <c r="D94" s="202" t="str">
        <f>Sheet1!G29</f>
        <v>S00546022</v>
      </c>
      <c r="E94" s="201"/>
      <c r="F94" s="1"/>
      <c r="G94" s="12"/>
      <c r="H94" s="1"/>
      <c r="I94" s="1"/>
      <c r="J94" s="1"/>
      <c r="K94" s="1"/>
    </row>
    <row r="95" spans="2:11" ht="13.2" x14ac:dyDescent="0.25">
      <c r="B95" s="1" t="s">
        <v>319</v>
      </c>
      <c r="C95" s="1"/>
      <c r="D95" s="202" t="str">
        <f>Sheet1!G30</f>
        <v>N8272201</v>
      </c>
      <c r="E95" s="201"/>
      <c r="F95" s="1"/>
      <c r="G95" s="1"/>
      <c r="H95" s="1"/>
      <c r="I95" s="1"/>
      <c r="J95" s="1"/>
      <c r="K95" s="1"/>
    </row>
    <row r="96" spans="2:11" ht="13.2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2:11" ht="13.2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2:11" ht="13.2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2:11" ht="13.2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2:11" ht="13.2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2:11" ht="13.2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2:11" ht="13.2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2:11" ht="13.2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</row>
  </sheetData>
  <mergeCells count="7">
    <mergeCell ref="B11:K11"/>
    <mergeCell ref="D95:E95"/>
    <mergeCell ref="B22:J22"/>
    <mergeCell ref="B78:G78"/>
    <mergeCell ref="C75:D75"/>
    <mergeCell ref="C76:J76"/>
    <mergeCell ref="D94:E94"/>
  </mergeCells>
  <pageMargins left="0.69930599999999998" right="0.69930599999999998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Sheet5</vt:lpstr>
      <vt:lpstr>Sheet3</vt:lpstr>
      <vt:lpstr>Sheet4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jaswinder</dc:creator>
  <cp:lastModifiedBy>DHIRAJ JADAV</cp:lastModifiedBy>
  <cp:revision>0</cp:revision>
  <dcterms:created xsi:type="dcterms:W3CDTF">2026-03-26T07:24:38Z</dcterms:created>
  <dcterms:modified xsi:type="dcterms:W3CDTF">2026-05-22T07:07:39Z</dcterms:modified>
</cp:coreProperties>
</file>