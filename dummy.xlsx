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dav\Coding\Automation\UIIC\uiic_automation\AAA\"/>
    </mc:Choice>
  </mc:AlternateContent>
  <xr:revisionPtr revIDLastSave="0" documentId="13_ncr:1_{92257CA0-8AC3-4B7C-8319-80AA39741DF0}" xr6:coauthVersionLast="47" xr6:coauthVersionMax="47" xr10:uidLastSave="{00000000-0000-0000-0000-000000000000}"/>
  <bookViews>
    <workbookView xWindow="-108" yWindow="-108" windowWidth="23256" windowHeight="13176" xr2:uid="{0249C969-0BD7-4CC8-B38D-D9EE02361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2" i="1" l="1"/>
  <c r="P204" i="1"/>
  <c r="N204" i="1"/>
  <c r="F190" i="1"/>
  <c r="F188" i="1"/>
  <c r="G178" i="1"/>
  <c r="B169" i="1"/>
  <c r="H168" i="1"/>
  <c r="H164" i="1"/>
  <c r="I162" i="1"/>
  <c r="I164" i="1" s="1"/>
  <c r="H162" i="1"/>
  <c r="G162" i="1"/>
  <c r="G164" i="1" s="1"/>
  <c r="F162" i="1"/>
  <c r="F164" i="1" s="1"/>
  <c r="F137" i="1"/>
  <c r="J136" i="1"/>
  <c r="I136" i="1"/>
  <c r="N203" i="1" s="1"/>
  <c r="P203" i="1" s="1"/>
  <c r="H136" i="1"/>
  <c r="H137" i="1" s="1"/>
  <c r="H138" i="1" s="1"/>
  <c r="G136" i="1"/>
  <c r="G137" i="1" s="1"/>
  <c r="G138" i="1" s="1"/>
  <c r="F136" i="1"/>
  <c r="F138" i="1" s="1"/>
  <c r="F141" i="1" s="1"/>
  <c r="F142" i="1" s="1"/>
  <c r="F175" i="1" s="1"/>
  <c r="F96" i="1"/>
  <c r="J96" i="1" s="1"/>
  <c r="B140" i="1" s="1"/>
  <c r="G140" i="1" s="1"/>
  <c r="K31" i="1"/>
  <c r="I31" i="1"/>
  <c r="K30" i="1"/>
  <c r="I30" i="1"/>
  <c r="G141" i="1" l="1"/>
  <c r="H140" i="1"/>
  <c r="G144" i="1" s="1"/>
  <c r="R203" i="1"/>
  <c r="U203" i="1" s="1"/>
  <c r="H165" i="1"/>
  <c r="I168" i="1" s="1"/>
  <c r="R204" i="1"/>
  <c r="U204" i="1" s="1"/>
  <c r="H169" i="1"/>
  <c r="H170" i="1" s="1"/>
  <c r="F176" i="1" s="1"/>
  <c r="F177" i="1" s="1"/>
  <c r="F179" i="1" s="1"/>
  <c r="N202" i="1"/>
  <c r="P202" i="1" s="1"/>
  <c r="I137" i="1"/>
  <c r="I138" i="1" s="1"/>
  <c r="I141" i="1" s="1"/>
  <c r="N205" i="1" l="1"/>
  <c r="P205" i="1" s="1"/>
  <c r="H141" i="1"/>
  <c r="G142" i="1"/>
  <c r="G175" i="1" s="1"/>
  <c r="I169" i="1"/>
  <c r="I170" i="1" s="1"/>
  <c r="G172" i="1" s="1"/>
  <c r="G176" i="1" s="1"/>
  <c r="R202" i="1"/>
  <c r="U202" i="1" s="1"/>
  <c r="G177" i="1" l="1"/>
  <c r="G179" i="1" s="1"/>
  <c r="G182" i="1" s="1"/>
  <c r="R205" i="1"/>
  <c r="U205" i="1" s="1"/>
  <c r="U206" i="1" s="1"/>
</calcChain>
</file>

<file path=xl/sharedStrings.xml><?xml version="1.0" encoding="utf-8"?>
<sst xmlns="http://schemas.openxmlformats.org/spreadsheetml/2006/main" count="326" uniqueCount="218">
  <si>
    <t>Type of Body</t>
  </si>
  <si>
    <t>Class of Vehicle</t>
  </si>
  <si>
    <t>Pre-Accident Condition</t>
  </si>
  <si>
    <t>delhi</t>
  </si>
  <si>
    <t>Er. SUNIL KUMAR</t>
  </si>
  <si>
    <t># 304, Village: Daria,</t>
  </si>
  <si>
    <t>SURVEYOR &amp; LOSS ASSESSOR</t>
  </si>
  <si>
    <t>Near Railway Station, Chandigarh</t>
  </si>
  <si>
    <t>LICENCE NO: 73070   EXPIRY: 08.02.2028</t>
  </si>
  <si>
    <t>Mobile: 098761-35253</t>
  </si>
  <si>
    <t>PAN NO:  AQUPK1480C</t>
  </si>
  <si>
    <t>e-mail:- ksunilsurveyor@gmail.com</t>
  </si>
  <si>
    <t>Ref:</t>
  </si>
  <si>
    <t>SK/2025-26/OICL/9873</t>
  </si>
  <si>
    <t>Date:</t>
  </si>
  <si>
    <t>PRIVATE &amp; CONFIDENTIAL SURVEY REPORT</t>
  </si>
  <si>
    <t>The report is issued by me as Licenced surveyor without prejudice in respect of cause, nature &amp; extent of loss/damages and subject to the terms and conditions of Insurance Policy.</t>
  </si>
  <si>
    <t>a</t>
  </si>
  <si>
    <t>INSURERS</t>
  </si>
  <si>
    <t>:</t>
  </si>
  <si>
    <t>NA</t>
  </si>
  <si>
    <t>IDV=</t>
  </si>
  <si>
    <t>ADDRESS</t>
  </si>
  <si>
    <t>b</t>
  </si>
  <si>
    <t xml:space="preserve">COVER NOTE/POLICY NO.     </t>
  </si>
  <si>
    <t>Period:</t>
  </si>
  <si>
    <t>Nil Depreciation</t>
  </si>
  <si>
    <t>yes</t>
  </si>
  <si>
    <t>c</t>
  </si>
  <si>
    <t>INSURED</t>
  </si>
  <si>
    <t xml:space="preserve">ADDRESS </t>
  </si>
  <si>
    <t>CONTACT NO.</t>
  </si>
  <si>
    <t>d</t>
  </si>
  <si>
    <t>HPA WITH</t>
  </si>
  <si>
    <t>MAGMA FINCORP LTD</t>
  </si>
  <si>
    <t>VEHICLE PARTICULARS</t>
  </si>
  <si>
    <t>RC Original Checked &amp; Found In Order</t>
  </si>
  <si>
    <t>Registration No.</t>
  </si>
  <si>
    <t>HR49H9873</t>
  </si>
  <si>
    <t>Date of Registration issue</t>
  </si>
  <si>
    <t>20.11.2019</t>
  </si>
  <si>
    <t>Date of Registration expiry</t>
  </si>
  <si>
    <t>19.11.2034</t>
  </si>
  <si>
    <t>Physically Checked</t>
  </si>
  <si>
    <t>As Per RC</t>
  </si>
  <si>
    <t>As Per Ins.</t>
  </si>
  <si>
    <t>Chassis No</t>
  </si>
  <si>
    <t>S00546022</t>
  </si>
  <si>
    <t>e</t>
  </si>
  <si>
    <t>Engine No</t>
  </si>
  <si>
    <t>N8272201</t>
  </si>
  <si>
    <t>f</t>
  </si>
  <si>
    <t>Make &amp; Year of Manufacturer</t>
  </si>
  <si>
    <t>MARUTI ALTO K10 VXI</t>
  </si>
  <si>
    <t>g</t>
  </si>
  <si>
    <t>SALOON CAR</t>
  </si>
  <si>
    <t>h</t>
  </si>
  <si>
    <t>Motor Car - NT</t>
  </si>
  <si>
    <t>i</t>
  </si>
  <si>
    <t>Stated to be normal road worthy</t>
  </si>
  <si>
    <t>j</t>
  </si>
  <si>
    <t>Registered Laden Weight</t>
  </si>
  <si>
    <t>k</t>
  </si>
  <si>
    <t>Unladen Weight</t>
  </si>
  <si>
    <t>l</t>
  </si>
  <si>
    <t>Fitness Cert Valid Upto</t>
  </si>
  <si>
    <t>Permit No.</t>
  </si>
  <si>
    <t>Valid Upto</t>
  </si>
  <si>
    <t>Type of Permit</t>
  </si>
  <si>
    <t>Route/area of Operation</t>
  </si>
  <si>
    <t>m</t>
  </si>
  <si>
    <t xml:space="preserve">Seating Capacity </t>
  </si>
  <si>
    <t>n</t>
  </si>
  <si>
    <t>Road Tax Paid Upto</t>
  </si>
  <si>
    <t>19/11/2034</t>
  </si>
  <si>
    <t>Fuel used: PETROL</t>
  </si>
  <si>
    <t>o</t>
  </si>
  <si>
    <t>Name of Regd. Owner as per RC</t>
  </si>
  <si>
    <t>kkk</t>
  </si>
  <si>
    <t>Colour:</t>
  </si>
  <si>
    <t>SUPERIOR WHITE</t>
  </si>
  <si>
    <t>p</t>
  </si>
  <si>
    <t>Cubic capacity</t>
  </si>
  <si>
    <t>DRIVER'S PARTICULARS</t>
  </si>
  <si>
    <t>DL Original Checked &amp; Found In Order</t>
  </si>
  <si>
    <t>Name of Driver</t>
  </si>
  <si>
    <t>JANG SINGH</t>
  </si>
  <si>
    <t>DOB:</t>
  </si>
  <si>
    <t>25.07.1994</t>
  </si>
  <si>
    <t>Address</t>
  </si>
  <si>
    <t>VILL. KARANPUR PO NΑΝΑKPUR,
Pinjore (MC), Kalka, Panchkula, HR, 133302</t>
  </si>
  <si>
    <t/>
  </si>
  <si>
    <t>City/State</t>
  </si>
  <si>
    <t>Panchkula, HR</t>
  </si>
  <si>
    <t xml:space="preserve">LICENCE NO. </t>
  </si>
  <si>
    <t>HR49 2016 0000013</t>
  </si>
  <si>
    <t>HR49/PDL/0000013/2016</t>
  </si>
  <si>
    <t>Date of issue</t>
  </si>
  <si>
    <t>20-09-2016</t>
  </si>
  <si>
    <t>Valid Till</t>
  </si>
  <si>
    <t>Issuing Authority</t>
  </si>
  <si>
    <t>SDM Office Kalka</t>
  </si>
  <si>
    <t>Type of Licence</t>
  </si>
  <si>
    <t>LMV-MCWG</t>
  </si>
  <si>
    <t>initial loss assessment</t>
  </si>
  <si>
    <t>ACCIDENT HISTORY</t>
  </si>
  <si>
    <t>claim no</t>
  </si>
  <si>
    <t>2012013126C050003001</t>
  </si>
  <si>
    <t>Date of Accident</t>
  </si>
  <si>
    <t>Place of Accident</t>
  </si>
  <si>
    <t>DETAIL OF SURVEY</t>
  </si>
  <si>
    <t>Date of Allotment of Survey</t>
  </si>
  <si>
    <t>Date and Time of Survey</t>
  </si>
  <si>
    <t>20/03/2026</t>
  </si>
  <si>
    <t>at 10 am</t>
  </si>
  <si>
    <t>Date of Spot Survey Report Recd.</t>
  </si>
  <si>
    <t>Spot Survey not received.</t>
  </si>
  <si>
    <t>Person Present at the Time of Survey</t>
  </si>
  <si>
    <t>Repairer was present</t>
  </si>
  <si>
    <t>PLACE OF SURVEY</t>
  </si>
  <si>
    <t>Workshop</t>
  </si>
  <si>
    <t>Govind Motor</t>
  </si>
  <si>
    <t>Pinjore Nalagarh Road Bsola Grada, Near New Petrol Pump, Distt. Panchkula, Haryana - 134112</t>
  </si>
  <si>
    <t>Status</t>
  </si>
  <si>
    <t>SERVICE MANAGER</t>
  </si>
  <si>
    <t>FIR DETAIL</t>
  </si>
  <si>
    <t>Nil (As Per Claim Form)</t>
  </si>
  <si>
    <t>INJURY/THIRD PARTY LOSS</t>
  </si>
  <si>
    <t>CAUSE AND NATURE OF ACCIDENT</t>
  </si>
  <si>
    <t>As stated in the Claim Form,</t>
  </si>
  <si>
    <t>OBERVATIONS/COMMENTS</t>
  </si>
  <si>
    <t>gkrjfkjfdkbgjfkng</t>
  </si>
  <si>
    <t>MAIN DAMAGES</t>
  </si>
  <si>
    <t>fut Bumper, fender LH, fut Door LH, Rear Door LH, Quter Panel LH, Rear Bumper, fender RH, fut Door RH, etc,etc.</t>
  </si>
  <si>
    <t>NOTES:</t>
  </si>
  <si>
    <t>The salvage of the vehicle has been destroyed/crushed in the presence of the Repairer.</t>
  </si>
  <si>
    <t>Re-inspection too has been done by me. All the replacemnets of parts and repair job have been dully carried out.</t>
  </si>
  <si>
    <t>Insured's vehicle has NIL DEP Policy.</t>
  </si>
  <si>
    <t>DETAIL OF ASSESSMENT</t>
  </si>
  <si>
    <t>COMPULSORY DEDUCTIBLE</t>
  </si>
  <si>
    <t>LIFE OF VEHICLE ( IN YEARS )</t>
  </si>
  <si>
    <t>SO, DEP. ON METAL (IN %)</t>
  </si>
  <si>
    <t>GSTIN (IN %) FOR PARTS</t>
  </si>
  <si>
    <t>GSTIN (IN %) FOR LABOUR</t>
  </si>
  <si>
    <t>GST 18%</t>
  </si>
  <si>
    <t>S.N.</t>
  </si>
  <si>
    <t>Part Discription</t>
  </si>
  <si>
    <t>Estimated</t>
  </si>
  <si>
    <t>Metal</t>
  </si>
  <si>
    <t>Plastic</t>
  </si>
  <si>
    <t>Glass</t>
  </si>
  <si>
    <t>Extra</t>
  </si>
  <si>
    <t>Invoice No</t>
  </si>
  <si>
    <t>fut Bumper</t>
  </si>
  <si>
    <t>fender LH</t>
  </si>
  <si>
    <t>fut Door LH</t>
  </si>
  <si>
    <t>N.A.</t>
  </si>
  <si>
    <t>Rear Door LH</t>
  </si>
  <si>
    <t>Quter Panel LH</t>
  </si>
  <si>
    <t>Rear Bumper</t>
  </si>
  <si>
    <t>fender RH</t>
  </si>
  <si>
    <t>fut Door RH</t>
  </si>
  <si>
    <t>Rear Door RH</t>
  </si>
  <si>
    <t>Quter Panel RH</t>
  </si>
  <si>
    <t>Side minor RH</t>
  </si>
  <si>
    <t>Side mirror LH</t>
  </si>
  <si>
    <t>feet Bumper Bubt</t>
  </si>
  <si>
    <t>Flood</t>
  </si>
  <si>
    <t>Carbone Cheye Accedator</t>
  </si>
  <si>
    <t>UNIT HEAD LAMP LH</t>
  </si>
  <si>
    <t>LABOUR CHARGE ACCIDENTAL</t>
  </si>
  <si>
    <t>SUB TOTAL</t>
  </si>
  <si>
    <t>% ADD GST (9%CGST+9%SGST)</t>
  </si>
  <si>
    <t>LESS DEPRECIATION:</t>
  </si>
  <si>
    <t>% OF METAL &amp; 50% OF PLASTIC</t>
  </si>
  <si>
    <t>NET FOR PARTS</t>
  </si>
  <si>
    <t>TOTAL NET FOR PARTS</t>
  </si>
  <si>
    <t>TOTAL AMOUNT OF DEPRECIATION (In Rs):</t>
  </si>
  <si>
    <t>LABOUR DETAIL</t>
  </si>
  <si>
    <t>LABOUR ESTIMATED</t>
  </si>
  <si>
    <t>DESCRIPTION</t>
  </si>
  <si>
    <t>R/R</t>
  </si>
  <si>
    <t>DENTING</t>
  </si>
  <si>
    <t>C/W</t>
  </si>
  <si>
    <t>PAINTING</t>
  </si>
  <si>
    <t>TOTAL (R/R, DENTING, C/W, PAINTING)</t>
  </si>
  <si>
    <t xml:space="preserve">LABOUR </t>
  </si>
  <si>
    <t>Assessed</t>
  </si>
  <si>
    <t>NET FOR LABOUR</t>
  </si>
  <si>
    <t>TOTAL AMOUNT OF LABOUR ASSESSED (in Rs):</t>
  </si>
  <si>
    <t>SUMMARY</t>
  </si>
  <si>
    <t>PARTS</t>
  </si>
  <si>
    <t>LABOUR</t>
  </si>
  <si>
    <t>LESS EXCESS CLAUSE</t>
  </si>
  <si>
    <t>NET PAYABLE</t>
  </si>
  <si>
    <t xml:space="preserve">LESS SALVAGE VALUE </t>
  </si>
  <si>
    <t>NET PAYABLE AMOUNT</t>
  </si>
  <si>
    <t>Report issued without prejudice or bias and is subject to the term and condition of the Policy and subject claim document being found in order. The Repairer/Insured has concurred with assessment.The damages are commensurate with the cause and nature of accident. The rates allowed are as per Authorised Dealer/Market rates which ever is less. Claim Form, Estimate, SF Bill, Photographs, Photocopies of RC, DL, C.Note, etc etc are enclosed.</t>
  </si>
  <si>
    <t>Physically Verified Major Assemblies</t>
  </si>
  <si>
    <t>Chassis Number</t>
  </si>
  <si>
    <t>Engine Number</t>
  </si>
  <si>
    <t>PAYMENT MADE IN THE FAVOUR OF REPAIRER</t>
  </si>
  <si>
    <t xml:space="preserve">              SUNIL KUMAR</t>
  </si>
  <si>
    <t>CASHLESS CLAIM</t>
  </si>
  <si>
    <t>SUMMARRY OF GST:</t>
  </si>
  <si>
    <t>HSN/SAC CODE</t>
  </si>
  <si>
    <t>Taxable Amount</t>
  </si>
  <si>
    <t>SGST/UTGST</t>
  </si>
  <si>
    <t>CGST</t>
  </si>
  <si>
    <t>ISGT</t>
  </si>
  <si>
    <t>Total Amount of GST</t>
  </si>
  <si>
    <t>Rate</t>
  </si>
  <si>
    <t>Amt.</t>
  </si>
  <si>
    <t>servey address</t>
  </si>
  <si>
    <t xml:space="preserve">agra </t>
  </si>
  <si>
    <t>Imposed Excess</t>
  </si>
  <si>
    <t>TOTAL AMOUNT OF GST ALLOWED</t>
  </si>
  <si>
    <t>Date of Registration/isurance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</si>
</sst>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yy;@"/>
    <numFmt numFmtId="165" formatCode="[$-409]mm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u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FFFFFF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justify" vertical="justify"/>
    </xf>
    <xf numFmtId="0" fontId="2" fillId="0" borderId="0" xfId="0" applyFont="1"/>
    <xf numFmtId="22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/>
    </xf>
    <xf numFmtId="17" fontId="2" fillId="0" borderId="0" xfId="0" applyNumberFormat="1" applyFont="1"/>
    <xf numFmtId="0" fontId="2" fillId="0" borderId="3" xfId="0" applyFont="1" applyBorder="1"/>
    <xf numFmtId="0" fontId="2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6" xfId="0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 applyAlignment="1">
      <alignment horizontal="left"/>
    </xf>
    <xf numFmtId="0" fontId="0" fillId="0" borderId="9" xfId="0" applyBorder="1"/>
    <xf numFmtId="0" fontId="2" fillId="0" borderId="10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0" fillId="0" borderId="12" xfId="0" applyBorder="1"/>
    <xf numFmtId="0" fontId="2" fillId="0" borderId="11" xfId="0" applyFont="1" applyBorder="1" applyAlignment="1">
      <alignment horizontal="center"/>
    </xf>
    <xf numFmtId="0" fontId="4" fillId="0" borderId="13" xfId="0" applyFont="1" applyBorder="1"/>
    <xf numFmtId="0" fontId="2" fillId="0" borderId="9" xfId="0" applyFont="1" applyBorder="1" applyAlignment="1">
      <alignment horizontal="left"/>
    </xf>
    <xf numFmtId="0" fontId="4" fillId="0" borderId="10" xfId="0" applyFont="1" applyBorder="1"/>
    <xf numFmtId="0" fontId="2" fillId="0" borderId="12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justify"/>
    </xf>
    <xf numFmtId="0" fontId="2" fillId="0" borderId="0" xfId="0" applyFont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6" xfId="0" applyFont="1" applyBorder="1"/>
    <xf numFmtId="43" fontId="2" fillId="0" borderId="0" xfId="0" applyNumberFormat="1" applyFont="1" applyAlignment="1">
      <alignment horizontal="right"/>
    </xf>
    <xf numFmtId="0" fontId="2" fillId="0" borderId="14" xfId="0" applyFont="1" applyBorder="1"/>
    <xf numFmtId="1" fontId="2" fillId="0" borderId="6" xfId="0" applyNumberFormat="1" applyFont="1" applyBorder="1" applyAlignment="1">
      <alignment horizontal="right"/>
    </xf>
    <xf numFmtId="1" fontId="2" fillId="0" borderId="6" xfId="0" applyNumberFormat="1" applyFont="1" applyBorder="1"/>
    <xf numFmtId="0" fontId="2" fillId="0" borderId="15" xfId="0" applyFont="1" applyBorder="1"/>
    <xf numFmtId="0" fontId="4" fillId="0" borderId="12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0" fillId="0" borderId="0" xfId="0" applyAlignment="1">
      <alignment horizontal="right"/>
    </xf>
    <xf numFmtId="0" fontId="2" fillId="0" borderId="8" xfId="0" applyFont="1" applyBorder="1" applyAlignment="1">
      <alignment horizontal="left"/>
    </xf>
    <xf numFmtId="2" fontId="2" fillId="0" borderId="14" xfId="0" applyNumberFormat="1" applyFont="1" applyBorder="1"/>
    <xf numFmtId="0" fontId="2" fillId="0" borderId="16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4" fillId="0" borderId="1" xfId="0" applyFont="1" applyBorder="1"/>
    <xf numFmtId="0" fontId="4" fillId="0" borderId="12" xfId="0" applyFont="1" applyBorder="1"/>
    <xf numFmtId="2" fontId="2" fillId="0" borderId="12" xfId="0" applyNumberFormat="1" applyFont="1" applyBorder="1"/>
    <xf numFmtId="2" fontId="4" fillId="0" borderId="12" xfId="0" applyNumberFormat="1" applyFont="1" applyBorder="1"/>
    <xf numFmtId="2" fontId="4" fillId="0" borderId="11" xfId="0" applyNumberFormat="1" applyFont="1" applyBorder="1"/>
    <xf numFmtId="2" fontId="4" fillId="0" borderId="0" xfId="0" applyNumberFormat="1" applyFont="1"/>
    <xf numFmtId="2" fontId="2" fillId="0" borderId="7" xfId="0" applyNumberFormat="1" applyFont="1" applyBorder="1"/>
    <xf numFmtId="2" fontId="2" fillId="0" borderId="16" xfId="0" applyNumberFormat="1" applyFont="1" applyBorder="1"/>
    <xf numFmtId="2" fontId="2" fillId="0" borderId="0" xfId="0" applyNumberFormat="1" applyFont="1"/>
    <xf numFmtId="1" fontId="2" fillId="0" borderId="1" xfId="0" applyNumberFormat="1" applyFont="1" applyBorder="1" applyAlignment="1">
      <alignment horizontal="right"/>
    </xf>
    <xf numFmtId="2" fontId="2" fillId="0" borderId="11" xfId="0" applyNumberFormat="1" applyFont="1" applyBorder="1"/>
    <xf numFmtId="2" fontId="2" fillId="0" borderId="11" xfId="1" applyNumberFormat="1" applyFont="1" applyFill="1" applyBorder="1"/>
    <xf numFmtId="0" fontId="4" fillId="0" borderId="7" xfId="0" applyFont="1" applyBorder="1"/>
    <xf numFmtId="2" fontId="2" fillId="0" borderId="10" xfId="0" applyNumberFormat="1" applyFont="1" applyBorder="1"/>
    <xf numFmtId="2" fontId="2" fillId="0" borderId="3" xfId="0" applyNumberFormat="1" applyFont="1" applyBorder="1"/>
    <xf numFmtId="2" fontId="2" fillId="0" borderId="5" xfId="0" applyNumberFormat="1" applyFont="1" applyBorder="1"/>
    <xf numFmtId="0" fontId="2" fillId="0" borderId="17" xfId="0" applyFont="1" applyBorder="1"/>
    <xf numFmtId="2" fontId="4" fillId="0" borderId="18" xfId="0" applyNumberFormat="1" applyFont="1" applyBorder="1"/>
    <xf numFmtId="2" fontId="4" fillId="0" borderId="19" xfId="0" applyNumberFormat="1" applyFont="1" applyBorder="1"/>
    <xf numFmtId="0" fontId="2" fillId="0" borderId="20" xfId="0" applyFont="1" applyBorder="1"/>
    <xf numFmtId="2" fontId="4" fillId="0" borderId="0" xfId="0" applyNumberFormat="1" applyFont="1" applyAlignment="1">
      <alignment horizontal="right"/>
    </xf>
    <xf numFmtId="0" fontId="4" fillId="0" borderId="3" xfId="0" applyFont="1" applyBorder="1"/>
    <xf numFmtId="2" fontId="4" fillId="0" borderId="4" xfId="0" applyNumberFormat="1" applyFont="1" applyBorder="1" applyAlignment="1">
      <alignment horizontal="right"/>
    </xf>
    <xf numFmtId="2" fontId="4" fillId="0" borderId="6" xfId="0" applyNumberFormat="1" applyFont="1" applyBorder="1"/>
    <xf numFmtId="0" fontId="4" fillId="0" borderId="5" xfId="0" applyFont="1" applyBorder="1"/>
    <xf numFmtId="0" fontId="4" fillId="0" borderId="4" xfId="0" applyFont="1" applyBorder="1"/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2" fontId="2" fillId="0" borderId="8" xfId="0" applyNumberFormat="1" applyFont="1" applyBorder="1" applyAlignment="1">
      <alignment horizontal="right"/>
    </xf>
    <xf numFmtId="2" fontId="2" fillId="0" borderId="14" xfId="0" applyNumberFormat="1" applyFont="1" applyBorder="1" applyAlignment="1">
      <alignment horizontal="right"/>
    </xf>
    <xf numFmtId="2" fontId="2" fillId="0" borderId="7" xfId="0" applyNumberFormat="1" applyFont="1" applyBorder="1" applyAlignment="1">
      <alignment horizontal="right"/>
    </xf>
    <xf numFmtId="2" fontId="2" fillId="0" borderId="16" xfId="0" applyNumberFormat="1" applyFont="1" applyBorder="1" applyAlignment="1">
      <alignment horizontal="right"/>
    </xf>
    <xf numFmtId="2" fontId="2" fillId="0" borderId="11" xfId="0" applyNumberFormat="1" applyFont="1" applyBorder="1" applyAlignment="1">
      <alignment horizontal="right"/>
    </xf>
    <xf numFmtId="2" fontId="2" fillId="0" borderId="15" xfId="0" applyNumberFormat="1" applyFont="1" applyBorder="1"/>
    <xf numFmtId="2" fontId="2" fillId="0" borderId="8" xfId="0" applyNumberFormat="1" applyFont="1" applyBorder="1"/>
    <xf numFmtId="2" fontId="2" fillId="0" borderId="1" xfId="0" applyNumberFormat="1" applyFont="1" applyBorder="1"/>
    <xf numFmtId="2" fontId="2" fillId="0" borderId="6" xfId="0" applyNumberFormat="1" applyFont="1" applyBorder="1"/>
    <xf numFmtId="2" fontId="2" fillId="0" borderId="9" xfId="0" applyNumberFormat="1" applyFont="1" applyBorder="1"/>
    <xf numFmtId="2" fontId="4" fillId="2" borderId="18" xfId="0" applyNumberFormat="1" applyFont="1" applyFill="1" applyBorder="1"/>
    <xf numFmtId="2" fontId="2" fillId="2" borderId="21" xfId="0" applyNumberFormat="1" applyFont="1" applyFill="1" applyBorder="1"/>
    <xf numFmtId="0" fontId="4" fillId="0" borderId="15" xfId="0" applyFont="1" applyBorder="1"/>
    <xf numFmtId="2" fontId="2" fillId="0" borderId="4" xfId="0" applyNumberFormat="1" applyFont="1" applyBorder="1"/>
    <xf numFmtId="2" fontId="4" fillId="0" borderId="5" xfId="0" applyNumberFormat="1" applyFont="1" applyBorder="1" applyAlignment="1">
      <alignment horizontal="right"/>
    </xf>
    <xf numFmtId="1" fontId="2" fillId="0" borderId="7" xfId="0" applyNumberFormat="1" applyFont="1" applyBorder="1"/>
    <xf numFmtId="2" fontId="4" fillId="0" borderId="4" xfId="0" applyNumberFormat="1" applyFont="1" applyBorder="1"/>
    <xf numFmtId="2" fontId="4" fillId="0" borderId="22" xfId="0" applyNumberFormat="1" applyFont="1" applyBorder="1"/>
    <xf numFmtId="0" fontId="2" fillId="0" borderId="13" xfId="0" applyFont="1" applyBorder="1"/>
    <xf numFmtId="2" fontId="4" fillId="0" borderId="21" xfId="0" applyNumberFormat="1" applyFont="1" applyBorder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justify" vertical="justify"/>
    </xf>
    <xf numFmtId="0" fontId="6" fillId="0" borderId="0" xfId="0" applyFont="1"/>
    <xf numFmtId="0" fontId="2" fillId="0" borderId="9" xfId="0" applyFont="1" applyBorder="1"/>
    <xf numFmtId="0" fontId="3" fillId="0" borderId="10" xfId="0" applyFont="1" applyBorder="1"/>
    <xf numFmtId="0" fontId="4" fillId="0" borderId="9" xfId="0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justify" vertical="justify"/>
    </xf>
    <xf numFmtId="0" fontId="4" fillId="0" borderId="11" xfId="0" applyFont="1" applyBorder="1"/>
    <xf numFmtId="0" fontId="4" fillId="0" borderId="3" xfId="0" applyFont="1" applyBorder="1" applyAlignment="1">
      <alignment horizontal="center"/>
    </xf>
    <xf numFmtId="0" fontId="0" fillId="0" borderId="10" xfId="0" applyBorder="1"/>
    <xf numFmtId="0" fontId="2" fillId="0" borderId="16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4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16" xfId="0" applyFont="1" applyBorder="1"/>
    <xf numFmtId="2" fontId="2" fillId="0" borderId="1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4" fillId="0" borderId="6" xfId="0" applyFont="1" applyBorder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58EC-4174-4AC1-9F27-05677A8651F7}">
  <dimension ref="A2:AE294"/>
  <sheetViews>
    <sheetView tabSelected="1" topLeftCell="A56" zoomScale="119" zoomScaleNormal="130" workbookViewId="0">
      <selection activeCell="C52" sqref="C52"/>
    </sheetView>
  </sheetViews>
  <sheetFormatPr defaultColWidth="8.77734375" defaultRowHeight="14.4" x14ac:dyDescent="0.3"/>
  <cols>
    <col min="1" max="16384" width="8.77734375" style="1"/>
  </cols>
  <sheetData>
    <row r="2" spans="1:3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3">
      <c r="A3" s="2"/>
      <c r="B3" s="3" t="s">
        <v>4</v>
      </c>
      <c r="C3" s="2"/>
      <c r="D3" s="2"/>
      <c r="E3" s="2"/>
      <c r="F3" s="2"/>
      <c r="G3" s="2"/>
      <c r="H3" s="2"/>
      <c r="I3" s="2" t="s">
        <v>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3">
      <c r="A4" s="2"/>
      <c r="B4" s="2" t="s">
        <v>6</v>
      </c>
      <c r="C4" s="4"/>
      <c r="D4" s="2"/>
      <c r="E4" s="2"/>
      <c r="F4" s="2"/>
      <c r="G4" s="2"/>
      <c r="H4" s="2"/>
      <c r="I4" s="2" t="s">
        <v>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3">
      <c r="A5" s="2"/>
      <c r="B5" s="2" t="s">
        <v>8</v>
      </c>
      <c r="C5" s="2"/>
      <c r="D5" s="2"/>
      <c r="E5" s="2"/>
      <c r="F5" s="2"/>
      <c r="G5" s="2"/>
      <c r="H5" s="4"/>
      <c r="I5" s="2" t="s">
        <v>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3">
      <c r="A6" s="2"/>
      <c r="B6" s="5" t="s">
        <v>10</v>
      </c>
      <c r="C6" s="5"/>
      <c r="D6" s="5"/>
      <c r="E6" s="5"/>
      <c r="F6" s="5"/>
      <c r="G6" s="5"/>
      <c r="H6" s="5"/>
      <c r="I6" s="5" t="s">
        <v>11</v>
      </c>
      <c r="J6" s="5"/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" thickBot="1" x14ac:dyDescent="0.35">
      <c r="A7" s="2"/>
      <c r="B7" s="6"/>
      <c r="C7" s="6"/>
      <c r="D7" s="6"/>
      <c r="E7" s="6"/>
      <c r="F7" s="6"/>
      <c r="G7" s="6"/>
      <c r="H7" s="6"/>
      <c r="I7" s="6"/>
      <c r="J7" s="6"/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/>
      <c r="B9" s="4" t="s">
        <v>12</v>
      </c>
      <c r="C9" s="2" t="s">
        <v>13</v>
      </c>
      <c r="D9" s="7"/>
      <c r="E9" s="2"/>
      <c r="F9" s="2"/>
      <c r="G9" s="2"/>
      <c r="H9" s="2"/>
      <c r="I9" s="2"/>
      <c r="J9" s="8" t="s">
        <v>14</v>
      </c>
      <c r="K9" s="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/>
      <c r="B10" s="4"/>
      <c r="C10" s="2"/>
      <c r="D10" s="2"/>
      <c r="E10" s="2"/>
      <c r="F10" s="2"/>
      <c r="G10" s="2"/>
      <c r="H10" s="2"/>
      <c r="I10" s="2"/>
      <c r="J10" s="8"/>
      <c r="K10" s="1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/>
      <c r="B11" s="11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">
      <c r="A12" s="2"/>
      <c r="B12" s="12" t="s">
        <v>16</v>
      </c>
      <c r="C12" s="13"/>
      <c r="D12" s="13"/>
      <c r="E12" s="13"/>
      <c r="F12" s="13"/>
      <c r="G12" s="13"/>
      <c r="H12" s="13"/>
      <c r="I12" s="13"/>
      <c r="J12" s="13"/>
      <c r="K12" s="1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">
      <c r="A13" s="2"/>
      <c r="B13" s="7"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">
      <c r="A14" s="2"/>
      <c r="B14" s="14" t="s">
        <v>17</v>
      </c>
      <c r="C14" s="4" t="s">
        <v>18</v>
      </c>
      <c r="D14" s="2"/>
      <c r="E14" s="15"/>
      <c r="F14" s="16" t="s">
        <v>19</v>
      </c>
      <c r="G14" s="2" t="s">
        <v>20</v>
      </c>
      <c r="H14" s="2"/>
      <c r="I14" s="2"/>
      <c r="J14" s="8" t="s">
        <v>21</v>
      </c>
      <c r="K14" s="17" t="s">
        <v>20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">
      <c r="A15" s="11"/>
      <c r="B15" s="2"/>
      <c r="C15" s="2" t="s">
        <v>22</v>
      </c>
      <c r="D15" s="2"/>
      <c r="E15" s="15"/>
      <c r="F15" s="16" t="s">
        <v>19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">
      <c r="A16" s="2"/>
      <c r="B16" s="2"/>
      <c r="C16" s="2"/>
      <c r="D16" s="2"/>
      <c r="E16" s="15"/>
      <c r="F16" s="1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3">
      <c r="A17" s="2"/>
      <c r="B17" s="2" t="s">
        <v>23</v>
      </c>
      <c r="C17" s="2" t="s">
        <v>24</v>
      </c>
      <c r="D17" s="2"/>
      <c r="E17" s="15"/>
      <c r="F17" s="16" t="s">
        <v>19</v>
      </c>
      <c r="G17" s="18" t="s">
        <v>20</v>
      </c>
      <c r="H17" s="2"/>
      <c r="I17" s="2"/>
      <c r="J17" s="8" t="s">
        <v>25</v>
      </c>
      <c r="K17" s="2" t="s">
        <v>20</v>
      </c>
      <c r="L17" s="2"/>
      <c r="M17" t="s">
        <v>26</v>
      </c>
      <c r="N17" s="16" t="s">
        <v>27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3">
      <c r="A19" s="2"/>
      <c r="B19" s="16" t="s">
        <v>28</v>
      </c>
      <c r="C19" s="4" t="s">
        <v>29</v>
      </c>
      <c r="D19" s="2"/>
      <c r="E19" s="15"/>
      <c r="F19" s="16" t="s">
        <v>19</v>
      </c>
      <c r="G19" s="2" t="s">
        <v>20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3">
      <c r="A20" s="16"/>
      <c r="B20" s="2"/>
      <c r="C20" s="2" t="s">
        <v>30</v>
      </c>
      <c r="D20" s="2"/>
      <c r="E20" s="15"/>
      <c r="F20" s="16" t="s">
        <v>19</v>
      </c>
      <c r="G20" s="19" t="s">
        <v>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3">
      <c r="A21" s="16"/>
      <c r="B21" s="2"/>
      <c r="C21" s="2" t="s">
        <v>31</v>
      </c>
      <c r="D21" s="2"/>
      <c r="E21" s="15"/>
      <c r="F21" s="16" t="s">
        <v>19</v>
      </c>
      <c r="G21" s="19" t="s">
        <v>20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3">
      <c r="A22" s="16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3">
      <c r="A23" s="2"/>
      <c r="B23" s="16" t="s">
        <v>32</v>
      </c>
      <c r="C23" s="4" t="s">
        <v>33</v>
      </c>
      <c r="D23" s="2"/>
      <c r="E23" s="15"/>
      <c r="F23" s="16" t="s">
        <v>19</v>
      </c>
      <c r="G23" s="2" t="s">
        <v>34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3">
      <c r="A24" s="16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3">
      <c r="A25" s="2"/>
      <c r="B25" s="16">
        <v>2</v>
      </c>
      <c r="C25" s="4" t="s">
        <v>35</v>
      </c>
      <c r="D25" s="2"/>
      <c r="E25" s="15"/>
      <c r="F25" s="16" t="s">
        <v>19</v>
      </c>
      <c r="G25" s="4" t="s">
        <v>36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3">
      <c r="A26" s="2"/>
      <c r="B26" s="2" t="s">
        <v>17</v>
      </c>
      <c r="C26" s="2" t="s">
        <v>37</v>
      </c>
      <c r="D26" s="2"/>
      <c r="E26" s="15"/>
      <c r="F26" s="16" t="s">
        <v>19</v>
      </c>
      <c r="G26" s="4" t="s">
        <v>38</v>
      </c>
      <c r="H26" s="2"/>
      <c r="I26" s="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3">
      <c r="A27" s="2"/>
      <c r="B27" s="2" t="s">
        <v>23</v>
      </c>
      <c r="C27" s="2" t="s">
        <v>39</v>
      </c>
      <c r="D27" s="2"/>
      <c r="E27" s="15"/>
      <c r="F27" s="16" t="s">
        <v>19</v>
      </c>
      <c r="G27" s="7" t="s">
        <v>40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3">
      <c r="A28" s="2"/>
      <c r="B28" s="2" t="s">
        <v>28</v>
      </c>
      <c r="C28" s="2" t="s">
        <v>41</v>
      </c>
      <c r="D28" s="2"/>
      <c r="E28" s="15"/>
      <c r="F28" s="16" t="s">
        <v>19</v>
      </c>
      <c r="G28" s="7" t="s">
        <v>42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3">
      <c r="A29" s="2"/>
      <c r="B29" s="2"/>
      <c r="C29" s="20"/>
      <c r="D29" s="21"/>
      <c r="E29" s="22"/>
      <c r="F29" s="23"/>
      <c r="G29" s="24" t="s">
        <v>43</v>
      </c>
      <c r="H29" s="25"/>
      <c r="I29" s="26" t="s">
        <v>44</v>
      </c>
      <c r="J29" s="25"/>
      <c r="K29" s="27" t="s">
        <v>45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3">
      <c r="A30" s="2"/>
      <c r="B30" s="2" t="s">
        <v>32</v>
      </c>
      <c r="C30" s="28" t="s">
        <v>46</v>
      </c>
      <c r="D30" s="2"/>
      <c r="E30" s="15"/>
      <c r="F30" s="16" t="s">
        <v>19</v>
      </c>
      <c r="G30" s="29" t="s">
        <v>47</v>
      </c>
      <c r="H30" s="30"/>
      <c r="I30" s="26" t="str">
        <f>G30</f>
        <v>S00546022</v>
      </c>
      <c r="J30" s="25"/>
      <c r="K30" s="27" t="str">
        <f>G30</f>
        <v>S00546022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3">
      <c r="A31" s="2"/>
      <c r="B31" s="2" t="s">
        <v>48</v>
      </c>
      <c r="C31" s="31" t="s">
        <v>49</v>
      </c>
      <c r="D31" s="5"/>
      <c r="E31" s="32"/>
      <c r="F31" s="33" t="s">
        <v>19</v>
      </c>
      <c r="G31" s="24" t="s">
        <v>50</v>
      </c>
      <c r="H31" s="25"/>
      <c r="I31" s="34" t="str">
        <f>G31</f>
        <v>N8272201</v>
      </c>
      <c r="J31" s="35"/>
      <c r="K31" s="36" t="str">
        <f>G31</f>
        <v>N8272201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3">
      <c r="A32" s="2"/>
      <c r="B32" s="2" t="s">
        <v>51</v>
      </c>
      <c r="C32" s="2" t="s">
        <v>52</v>
      </c>
      <c r="D32" s="2"/>
      <c r="E32" s="4"/>
      <c r="F32" s="16" t="s">
        <v>19</v>
      </c>
      <c r="G32" s="4" t="s">
        <v>53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3">
      <c r="A33" s="2"/>
      <c r="B33" s="2" t="s">
        <v>54</v>
      </c>
      <c r="C33" s="2" t="s">
        <v>0</v>
      </c>
      <c r="D33" s="2"/>
      <c r="E33" s="15"/>
      <c r="F33" s="16" t="s">
        <v>19</v>
      </c>
      <c r="G33" s="2" t="s">
        <v>55</v>
      </c>
      <c r="H33" s="2"/>
      <c r="I33" s="2"/>
      <c r="J33" s="2"/>
      <c r="K33" s="2"/>
      <c r="L33" s="2"/>
      <c r="M33" s="7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3">
      <c r="A34" s="2"/>
      <c r="B34" s="2" t="s">
        <v>56</v>
      </c>
      <c r="C34" s="2" t="s">
        <v>1</v>
      </c>
      <c r="D34" s="2"/>
      <c r="E34" s="15"/>
      <c r="F34" s="16" t="s">
        <v>19</v>
      </c>
      <c r="G34" s="2" t="s">
        <v>57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3">
      <c r="A35" s="2"/>
      <c r="B35" s="2" t="s">
        <v>58</v>
      </c>
      <c r="C35" s="2" t="s">
        <v>2</v>
      </c>
      <c r="D35" s="2"/>
      <c r="E35" s="15"/>
      <c r="F35" s="16" t="s">
        <v>19</v>
      </c>
      <c r="G35" s="2" t="s">
        <v>59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3">
      <c r="A36" s="2"/>
      <c r="B36" s="2" t="s">
        <v>60</v>
      </c>
      <c r="C36" s="2" t="s">
        <v>61</v>
      </c>
      <c r="D36" s="2"/>
      <c r="E36" s="15"/>
      <c r="F36" s="16" t="s">
        <v>19</v>
      </c>
      <c r="G36" s="7">
        <v>990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3">
      <c r="A37" s="2"/>
      <c r="B37" s="2" t="s">
        <v>62</v>
      </c>
      <c r="C37" s="2" t="s">
        <v>63</v>
      </c>
      <c r="D37" s="2"/>
      <c r="E37" s="15"/>
      <c r="F37" s="16" t="s">
        <v>19</v>
      </c>
      <c r="G37" s="7">
        <v>9800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3">
      <c r="A38" s="2"/>
      <c r="B38" s="2" t="s">
        <v>64</v>
      </c>
      <c r="C38" s="2" t="s">
        <v>65</v>
      </c>
      <c r="D38" s="2"/>
      <c r="E38" s="15"/>
      <c r="F38" s="16" t="s">
        <v>19</v>
      </c>
      <c r="G38" s="2" t="s">
        <v>42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3">
      <c r="A39" s="2"/>
      <c r="B39" s="2"/>
      <c r="C39" s="2" t="s">
        <v>66</v>
      </c>
      <c r="D39" s="2"/>
      <c r="E39" s="15"/>
      <c r="F39" s="16" t="s">
        <v>19</v>
      </c>
      <c r="G39" s="2" t="s">
        <v>20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3">
      <c r="A40" s="2"/>
      <c r="B40" s="2"/>
      <c r="C40" s="2" t="s">
        <v>67</v>
      </c>
      <c r="D40" s="2"/>
      <c r="E40" s="15"/>
      <c r="F40" s="16" t="s">
        <v>19</v>
      </c>
      <c r="G40" s="2" t="s">
        <v>20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3">
      <c r="A41" s="2"/>
      <c r="B41" s="2"/>
      <c r="C41" s="2" t="s">
        <v>68</v>
      </c>
      <c r="D41" s="2"/>
      <c r="E41" s="15"/>
      <c r="F41" s="16" t="s">
        <v>19</v>
      </c>
      <c r="G41" s="2" t="s">
        <v>20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3">
      <c r="A42" s="2"/>
      <c r="B42" s="2"/>
      <c r="C42" s="2" t="s">
        <v>69</v>
      </c>
      <c r="D42" s="2"/>
      <c r="E42" s="15"/>
      <c r="F42" s="16" t="s">
        <v>19</v>
      </c>
      <c r="G42" s="2" t="s">
        <v>20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3">
      <c r="A43" s="2"/>
      <c r="B43" s="2" t="s">
        <v>70</v>
      </c>
      <c r="C43" s="2" t="s">
        <v>71</v>
      </c>
      <c r="D43" s="2"/>
      <c r="E43" s="15"/>
      <c r="F43" s="16" t="s">
        <v>19</v>
      </c>
      <c r="G43" s="7">
        <v>5</v>
      </c>
      <c r="H43" s="2"/>
      <c r="I43" s="2"/>
      <c r="J43" s="2"/>
      <c r="K43" s="2"/>
      <c r="L43" s="2"/>
      <c r="M43" s="2"/>
      <c r="N43" s="2"/>
      <c r="O43" s="2"/>
      <c r="P43" s="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3">
      <c r="A44" s="2"/>
      <c r="B44" s="2" t="s">
        <v>72</v>
      </c>
      <c r="C44" s="2" t="s">
        <v>73</v>
      </c>
      <c r="D44" s="2"/>
      <c r="E44" s="15"/>
      <c r="F44" s="16" t="s">
        <v>19</v>
      </c>
      <c r="G44" s="2" t="s">
        <v>74</v>
      </c>
      <c r="H44" s="2"/>
      <c r="I44" s="2"/>
      <c r="J44" s="37" t="s">
        <v>75</v>
      </c>
      <c r="K44" s="38"/>
      <c r="L44" s="2"/>
      <c r="M44" s="2"/>
      <c r="N44" s="2"/>
      <c r="O44" s="2"/>
      <c r="P44" s="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3">
      <c r="A45" s="2"/>
      <c r="B45" s="2" t="s">
        <v>76</v>
      </c>
      <c r="C45" s="2" t="s">
        <v>77</v>
      </c>
      <c r="D45" s="2"/>
      <c r="E45" s="15"/>
      <c r="F45" s="16" t="s">
        <v>19</v>
      </c>
      <c r="G45" s="2" t="s">
        <v>78</v>
      </c>
      <c r="H45" s="2"/>
      <c r="I45" s="2"/>
      <c r="J45" s="39" t="s">
        <v>79</v>
      </c>
      <c r="K45" s="40" t="s">
        <v>80</v>
      </c>
      <c r="L45" s="2"/>
      <c r="M45" s="2"/>
      <c r="N45" s="2"/>
      <c r="O45" s="2"/>
      <c r="P45" s="4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3">
      <c r="A46" s="2"/>
      <c r="B46" s="2" t="s">
        <v>81</v>
      </c>
      <c r="C46" s="2" t="s">
        <v>82</v>
      </c>
      <c r="D46" s="2"/>
      <c r="E46" s="41"/>
      <c r="F46" s="41"/>
      <c r="G46" s="7">
        <v>998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3">
      <c r="A47" s="2"/>
      <c r="B47" s="16">
        <v>3</v>
      </c>
      <c r="C47" s="4" t="s">
        <v>83</v>
      </c>
      <c r="D47" s="2"/>
      <c r="E47" s="15"/>
      <c r="F47" s="16" t="s">
        <v>19</v>
      </c>
      <c r="G47" s="4" t="s">
        <v>84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3">
      <c r="A48" s="2"/>
      <c r="B48" s="2" t="s">
        <v>17</v>
      </c>
      <c r="C48" s="2" t="s">
        <v>85</v>
      </c>
      <c r="D48" s="2"/>
      <c r="E48" s="15"/>
      <c r="F48" s="16" t="s">
        <v>19</v>
      </c>
      <c r="G48" s="2" t="s">
        <v>86</v>
      </c>
      <c r="H48" s="2"/>
      <c r="I48" s="2"/>
      <c r="J48" s="8" t="s">
        <v>87</v>
      </c>
      <c r="K48" s="2" t="s">
        <v>88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3">
      <c r="A49" s="2"/>
      <c r="B49" s="2"/>
      <c r="C49" s="2" t="s">
        <v>89</v>
      </c>
      <c r="D49" s="2"/>
      <c r="E49" s="15"/>
      <c r="F49" s="16" t="s">
        <v>19</v>
      </c>
      <c r="G49" s="19" t="s">
        <v>90</v>
      </c>
      <c r="H49" s="2"/>
      <c r="I49" s="2"/>
      <c r="J49" s="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3">
      <c r="A50" s="2"/>
      <c r="B50" s="2" t="s">
        <v>91</v>
      </c>
      <c r="C50" s="2" t="s">
        <v>92</v>
      </c>
      <c r="D50" s="2"/>
      <c r="E50" s="15"/>
      <c r="F50" s="16" t="s">
        <v>19</v>
      </c>
      <c r="G50" s="7" t="s">
        <v>93</v>
      </c>
      <c r="H50" s="2"/>
      <c r="I50" s="2"/>
      <c r="J50" s="8" t="s">
        <v>91</v>
      </c>
      <c r="K50" s="2" t="s">
        <v>91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x14ac:dyDescent="0.3">
      <c r="A51" s="2"/>
      <c r="B51" s="2" t="s">
        <v>23</v>
      </c>
      <c r="C51" s="4" t="s">
        <v>94</v>
      </c>
      <c r="D51" s="2"/>
      <c r="E51" s="15"/>
      <c r="F51" s="16" t="s">
        <v>19</v>
      </c>
      <c r="G51" s="16" t="s">
        <v>95</v>
      </c>
      <c r="H51" s="2"/>
      <c r="I51" t="s">
        <v>96</v>
      </c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x14ac:dyDescent="0.3">
      <c r="A52" s="2"/>
      <c r="B52" s="2" t="s">
        <v>28</v>
      </c>
      <c r="C52" s="2" t="s">
        <v>97</v>
      </c>
      <c r="D52" s="2"/>
      <c r="E52" s="15"/>
      <c r="F52" s="16" t="s">
        <v>19</v>
      </c>
      <c r="G52" s="2" t="s">
        <v>98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x14ac:dyDescent="0.3">
      <c r="A53" s="2"/>
      <c r="B53" s="2" t="s">
        <v>32</v>
      </c>
      <c r="C53" s="2" t="s">
        <v>99</v>
      </c>
      <c r="D53" s="2"/>
      <c r="E53" s="15"/>
      <c r="F53" s="16" t="s">
        <v>19</v>
      </c>
      <c r="G53" s="19" t="s">
        <v>98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x14ac:dyDescent="0.3">
      <c r="A54" s="2"/>
      <c r="B54" s="2" t="s">
        <v>48</v>
      </c>
      <c r="C54" s="2" t="s">
        <v>100</v>
      </c>
      <c r="D54" s="2"/>
      <c r="E54" s="15"/>
      <c r="F54" s="16" t="s">
        <v>19</v>
      </c>
      <c r="G54" s="7" t="s">
        <v>101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3">
      <c r="A55" s="2"/>
      <c r="B55" s="2" t="s">
        <v>51</v>
      </c>
      <c r="C55" s="2" t="s">
        <v>102</v>
      </c>
      <c r="D55" s="2"/>
      <c r="E55" s="15"/>
      <c r="F55" s="16" t="s">
        <v>19</v>
      </c>
      <c r="G55" s="2" t="s">
        <v>103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3">
      <c r="A56" s="2"/>
      <c r="B56" s="2"/>
      <c r="C56" s="2"/>
      <c r="D56" s="2"/>
      <c r="E56" s="41"/>
      <c r="F56" s="7"/>
      <c r="G56" s="2"/>
      <c r="H56" s="2"/>
      <c r="I56" s="2"/>
      <c r="J56" s="2"/>
      <c r="K56" s="2"/>
      <c r="L56" s="2"/>
      <c r="M56" s="2"/>
      <c r="N56" s="2" t="s">
        <v>104</v>
      </c>
      <c r="O56" s="2">
        <v>50000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3">
      <c r="A57" s="2"/>
      <c r="B57" s="16">
        <v>4</v>
      </c>
      <c r="C57" s="4" t="s">
        <v>105</v>
      </c>
      <c r="D57" s="2"/>
      <c r="E57" s="41"/>
      <c r="F57" s="41"/>
      <c r="G57" s="2"/>
      <c r="H57" s="2"/>
      <c r="I57" s="2"/>
      <c r="J57" s="2"/>
      <c r="K57" s="2"/>
      <c r="L57" s="2"/>
      <c r="M57" s="2"/>
      <c r="N57" s="2" t="s">
        <v>106</v>
      </c>
      <c r="O57" s="2" t="s">
        <v>107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3">
      <c r="A58" s="2"/>
      <c r="B58" s="2" t="s">
        <v>17</v>
      </c>
      <c r="C58" s="2" t="s">
        <v>108</v>
      </c>
      <c r="D58" s="2"/>
      <c r="E58" s="15"/>
      <c r="F58" s="16" t="s">
        <v>19</v>
      </c>
      <c r="G58" s="9" t="s">
        <v>20</v>
      </c>
      <c r="H58" s="2"/>
      <c r="I58" s="2"/>
      <c r="J58" s="2"/>
      <c r="K58" s="2"/>
      <c r="L58" s="2"/>
      <c r="M58" s="2"/>
      <c r="N58" s="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3">
      <c r="A59" s="2"/>
      <c r="B59" s="2" t="s">
        <v>23</v>
      </c>
      <c r="C59" s="2" t="s">
        <v>109</v>
      </c>
      <c r="D59" s="2"/>
      <c r="E59" s="15"/>
      <c r="F59" s="16" t="s">
        <v>19</v>
      </c>
      <c r="G59" s="2" t="s">
        <v>20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3">
      <c r="A60" s="2"/>
      <c r="B60" s="2"/>
      <c r="C60" s="2"/>
      <c r="D60" s="2"/>
      <c r="E60" s="2"/>
      <c r="F60" s="1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3">
      <c r="A61" s="2"/>
      <c r="B61" s="16">
        <v>5</v>
      </c>
      <c r="C61" s="4" t="s">
        <v>110</v>
      </c>
      <c r="D61" s="2"/>
      <c r="E61" s="41"/>
      <c r="F61" s="4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3">
      <c r="A62" s="2"/>
      <c r="B62" s="2"/>
      <c r="C62" s="2" t="s">
        <v>111</v>
      </c>
      <c r="D62" s="2"/>
      <c r="E62" s="15"/>
      <c r="F62" s="16" t="s">
        <v>19</v>
      </c>
      <c r="G62" s="2" t="s">
        <v>20</v>
      </c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3">
      <c r="A63" s="2"/>
      <c r="B63" s="2"/>
      <c r="C63" s="2" t="s">
        <v>112</v>
      </c>
      <c r="D63" s="2"/>
      <c r="E63" s="15"/>
      <c r="F63" s="16" t="s">
        <v>19</v>
      </c>
      <c r="G63" s="2" t="s">
        <v>113</v>
      </c>
      <c r="H63" s="2" t="s">
        <v>114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x14ac:dyDescent="0.3">
      <c r="A64" s="2"/>
      <c r="B64" s="2"/>
      <c r="C64" s="2" t="s">
        <v>115</v>
      </c>
      <c r="D64" s="2"/>
      <c r="E64" s="41"/>
      <c r="F64" s="16" t="s">
        <v>19</v>
      </c>
      <c r="G64" s="2" t="s">
        <v>116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x14ac:dyDescent="0.3">
      <c r="A65" s="2"/>
      <c r="B65" s="2"/>
      <c r="C65" s="2" t="s">
        <v>117</v>
      </c>
      <c r="D65" s="2"/>
      <c r="E65" s="15"/>
      <c r="F65" s="16" t="s">
        <v>19</v>
      </c>
      <c r="G65" s="2" t="s">
        <v>118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3">
      <c r="A66" s="2"/>
      <c r="B66" s="2"/>
      <c r="C66" s="2"/>
      <c r="D66" s="2"/>
      <c r="E66" s="15"/>
      <c r="F66" s="1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3">
      <c r="A67" s="2"/>
      <c r="B67" s="2"/>
      <c r="C67" s="2"/>
      <c r="D67" s="2"/>
      <c r="E67" s="15"/>
      <c r="F67" s="1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3">
      <c r="A68" s="2"/>
      <c r="B68" s="16">
        <v>6</v>
      </c>
      <c r="C68" s="4" t="s">
        <v>119</v>
      </c>
      <c r="D68" s="2"/>
      <c r="E68" s="4"/>
      <c r="F68" s="1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x14ac:dyDescent="0.3">
      <c r="A69" s="2"/>
      <c r="B69" s="16"/>
      <c r="C69" s="2" t="s">
        <v>120</v>
      </c>
      <c r="D69" s="2"/>
      <c r="E69" s="4"/>
      <c r="F69" s="16" t="s">
        <v>19</v>
      </c>
      <c r="G69" s="2" t="s">
        <v>121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3">
      <c r="A70" s="2"/>
      <c r="B70" s="16"/>
      <c r="C70" s="2" t="s">
        <v>89</v>
      </c>
      <c r="D70" s="2"/>
      <c r="E70" s="4"/>
      <c r="F70" s="16" t="s">
        <v>19</v>
      </c>
      <c r="G70" s="2" t="s">
        <v>122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3">
      <c r="A71" s="2"/>
      <c r="B71" s="16"/>
      <c r="C71" s="2" t="s">
        <v>123</v>
      </c>
      <c r="D71" s="2"/>
      <c r="E71" s="4"/>
      <c r="F71" s="16" t="s">
        <v>19</v>
      </c>
      <c r="G71" s="2" t="s">
        <v>124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x14ac:dyDescent="0.3">
      <c r="A73" s="2"/>
      <c r="B73" s="16">
        <v>7</v>
      </c>
      <c r="C73" s="4" t="s">
        <v>125</v>
      </c>
      <c r="D73" s="2"/>
      <c r="E73" s="15"/>
      <c r="F73" s="16" t="s">
        <v>19</v>
      </c>
      <c r="G73" s="2" t="s">
        <v>126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x14ac:dyDescent="0.3">
      <c r="A74" s="2"/>
      <c r="B74" s="16"/>
      <c r="C74" s="4"/>
      <c r="D74" s="2"/>
      <c r="E74" s="4"/>
      <c r="F74" s="1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3">
      <c r="A75" s="2"/>
      <c r="B75" s="16">
        <v>8</v>
      </c>
      <c r="C75" s="4" t="s">
        <v>127</v>
      </c>
      <c r="D75" s="2"/>
      <c r="E75" s="15"/>
      <c r="F75" s="16" t="s">
        <v>19</v>
      </c>
      <c r="G75" s="2" t="s">
        <v>126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x14ac:dyDescent="0.3">
      <c r="A77" s="2"/>
      <c r="B77" s="16">
        <v>9</v>
      </c>
      <c r="C77" s="4" t="s">
        <v>128</v>
      </c>
      <c r="D77" s="2"/>
      <c r="E77" s="41"/>
      <c r="F77" s="4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3">
      <c r="A78" s="2"/>
      <c r="B78" s="16"/>
      <c r="C78" s="2" t="s">
        <v>129</v>
      </c>
      <c r="D78" s="2"/>
      <c r="E78" s="41"/>
      <c r="F78" s="4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x14ac:dyDescent="0.3">
      <c r="A79" s="2"/>
      <c r="B79" s="16"/>
      <c r="C79" s="12" t="s">
        <v>20</v>
      </c>
      <c r="D79" s="13"/>
      <c r="E79" s="13"/>
      <c r="F79" s="13"/>
      <c r="G79" s="13"/>
      <c r="H79" s="13"/>
      <c r="I79" s="13"/>
      <c r="J79" s="13"/>
      <c r="K79" s="1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x14ac:dyDescent="0.3">
      <c r="A81" s="2"/>
      <c r="B81" s="16">
        <v>10</v>
      </c>
      <c r="C81" s="4" t="s">
        <v>130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x14ac:dyDescent="0.3">
      <c r="A82" s="2"/>
      <c r="B82" s="16"/>
      <c r="C82" s="12" t="s">
        <v>131</v>
      </c>
      <c r="D82" s="13"/>
      <c r="E82" s="13"/>
      <c r="F82" s="13"/>
      <c r="G82" s="13"/>
      <c r="H82" s="13"/>
      <c r="I82" s="13"/>
      <c r="J82" s="13"/>
      <c r="K82" s="1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x14ac:dyDescent="0.3">
      <c r="A83" s="41"/>
      <c r="B83" s="42"/>
      <c r="C83" s="42"/>
      <c r="D83" s="42"/>
      <c r="E83" s="42"/>
      <c r="F83" s="42"/>
      <c r="G83" s="42"/>
      <c r="H83" s="42"/>
      <c r="I83" s="42"/>
      <c r="J83" s="4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x14ac:dyDescent="0.3">
      <c r="A84" s="2"/>
      <c r="B84" s="16">
        <v>11</v>
      </c>
      <c r="C84" s="4" t="s">
        <v>132</v>
      </c>
      <c r="D84" s="2"/>
      <c r="E84" s="2"/>
      <c r="F84" s="2"/>
      <c r="G84" s="2"/>
      <c r="H84" s="2"/>
      <c r="I84" s="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x14ac:dyDescent="0.3">
      <c r="A85" s="2"/>
      <c r="B85" s="16"/>
      <c r="C85" s="2" t="s">
        <v>133</v>
      </c>
      <c r="D85" s="2"/>
      <c r="E85" s="2"/>
      <c r="F85" s="2"/>
      <c r="G85" s="2"/>
      <c r="H85" s="2"/>
      <c r="I85" s="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x14ac:dyDescent="0.3">
      <c r="A86" s="2"/>
      <c r="B86" s="16"/>
      <c r="C86" s="2"/>
      <c r="D86" s="2"/>
      <c r="E86" s="2"/>
      <c r="F86" s="2"/>
      <c r="G86" s="2"/>
      <c r="H86" s="2"/>
      <c r="I86" s="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x14ac:dyDescent="0.3">
      <c r="A87" s="2"/>
      <c r="B87" s="16">
        <v>12</v>
      </c>
      <c r="C87" s="4" t="s">
        <v>134</v>
      </c>
      <c r="D87" s="2"/>
      <c r="E87" s="2"/>
      <c r="F87" s="2"/>
      <c r="G87" s="2"/>
      <c r="H87" s="2"/>
      <c r="I87" s="4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x14ac:dyDescent="0.3">
      <c r="A88" s="2"/>
      <c r="B88" s="43">
        <v>1</v>
      </c>
      <c r="C88" s="2" t="s">
        <v>20</v>
      </c>
      <c r="D88" s="2"/>
      <c r="E88" s="2"/>
      <c r="F88" s="2"/>
      <c r="G88" s="2"/>
      <c r="H88" s="2"/>
      <c r="I88" s="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x14ac:dyDescent="0.3">
      <c r="A89" s="2"/>
      <c r="B89" s="43">
        <v>2</v>
      </c>
      <c r="C89" s="2" t="s">
        <v>135</v>
      </c>
      <c r="D89" s="2"/>
      <c r="E89" s="2"/>
      <c r="F89" s="2"/>
      <c r="G89" s="2"/>
      <c r="H89" s="2"/>
      <c r="I89" s="4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x14ac:dyDescent="0.3">
      <c r="A90" s="2"/>
      <c r="B90" s="43">
        <v>3</v>
      </c>
      <c r="C90" s="2" t="s">
        <v>136</v>
      </c>
      <c r="D90" s="2"/>
      <c r="E90" s="2"/>
      <c r="F90" s="2"/>
      <c r="G90" s="2"/>
      <c r="H90" s="2"/>
      <c r="I90" s="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x14ac:dyDescent="0.3">
      <c r="A91" s="2"/>
      <c r="B91" s="43">
        <v>4</v>
      </c>
      <c r="C91" s="4" t="s">
        <v>137</v>
      </c>
      <c r="D91" s="2"/>
      <c r="E91" s="2"/>
      <c r="F91" s="2"/>
      <c r="G91" s="2"/>
      <c r="H91" s="2"/>
      <c r="I91" s="4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x14ac:dyDescent="0.3">
      <c r="A92" s="2"/>
      <c r="B92" s="43"/>
      <c r="C92" s="4"/>
      <c r="D92" s="2"/>
      <c r="E92" s="2"/>
      <c r="F92" s="2"/>
      <c r="G92" s="2"/>
      <c r="H92" s="2"/>
      <c r="I92" s="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x14ac:dyDescent="0.3">
      <c r="A93" s="2"/>
      <c r="B93" s="16">
        <v>13</v>
      </c>
      <c r="C93" s="4" t="s">
        <v>138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x14ac:dyDescent="0.3">
      <c r="A94" s="2"/>
      <c r="B94" s="4"/>
      <c r="C94" s="2"/>
      <c r="D94" s="2"/>
      <c r="E94" s="5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x14ac:dyDescent="0.3">
      <c r="A95" s="2"/>
      <c r="B95" s="20"/>
      <c r="C95" s="21"/>
      <c r="D95" s="21" t="s">
        <v>139</v>
      </c>
      <c r="E95" s="21"/>
      <c r="F95" s="44"/>
      <c r="G95" s="21"/>
      <c r="H95" s="21"/>
      <c r="I95" s="21"/>
      <c r="J95" s="45">
        <v>500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x14ac:dyDescent="0.3">
      <c r="A96" s="2"/>
      <c r="B96" s="28" t="s">
        <v>140</v>
      </c>
      <c r="C96" s="2"/>
      <c r="D96" s="2"/>
      <c r="E96" s="5"/>
      <c r="F96" s="46">
        <f>E262</f>
        <v>-119.88888888888889</v>
      </c>
      <c r="G96" s="2" t="s">
        <v>141</v>
      </c>
      <c r="H96" s="2"/>
      <c r="I96" s="2"/>
      <c r="J96" s="47">
        <f>IF(F96&lt;0.5,0,IF(F96&lt;1,5,IF(F96&lt;2,10,IF(F96&lt;3,15,IF(F96&lt;4,25,IF(F96&lt;5,35,IF(F96&lt;10,40,50)))))))</f>
        <v>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3">
      <c r="A97" s="2"/>
      <c r="B97" s="20" t="s">
        <v>142</v>
      </c>
      <c r="C97" s="21"/>
      <c r="D97" s="21"/>
      <c r="E97" s="2"/>
      <c r="F97" s="48">
        <v>18</v>
      </c>
      <c r="G97" s="21" t="s">
        <v>143</v>
      </c>
      <c r="H97" s="21"/>
      <c r="I97" s="21"/>
      <c r="J97" s="49">
        <v>18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x14ac:dyDescent="0.3">
      <c r="A98" s="2"/>
      <c r="B98" s="50"/>
      <c r="C98" s="50"/>
      <c r="D98" s="50"/>
      <c r="E98" s="50"/>
      <c r="F98" s="50"/>
      <c r="G98" s="50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3">
      <c r="A99" s="2"/>
      <c r="B99" s="5"/>
      <c r="C99" s="5"/>
      <c r="D99" s="5"/>
      <c r="E99" s="5"/>
      <c r="F99" s="5"/>
      <c r="G99" s="5" t="s">
        <v>144</v>
      </c>
      <c r="H99" s="5" t="s">
        <v>144</v>
      </c>
      <c r="I99" s="5" t="s">
        <v>144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3">
      <c r="A100" s="2"/>
      <c r="B100" s="39" t="s">
        <v>145</v>
      </c>
      <c r="C100" s="39" t="s">
        <v>146</v>
      </c>
      <c r="D100" s="5"/>
      <c r="E100" s="40"/>
      <c r="F100" s="51" t="s">
        <v>147</v>
      </c>
      <c r="G100" s="51" t="s">
        <v>148</v>
      </c>
      <c r="H100" s="51" t="s">
        <v>149</v>
      </c>
      <c r="I100" s="52" t="s">
        <v>150</v>
      </c>
      <c r="J100" s="8" t="s">
        <v>151</v>
      </c>
      <c r="K100" s="53" t="s">
        <v>152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x14ac:dyDescent="0.3">
      <c r="A101" s="2"/>
      <c r="B101" s="54">
        <v>1</v>
      </c>
      <c r="C101" s="54" t="s">
        <v>153</v>
      </c>
      <c r="D101" s="2"/>
      <c r="E101" s="47"/>
      <c r="F101" s="55">
        <v>1560</v>
      </c>
      <c r="G101" s="55">
        <v>1210.93</v>
      </c>
      <c r="H101" s="55"/>
      <c r="I101" s="55"/>
      <c r="J101" s="2"/>
      <c r="K101" s="43">
        <v>1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x14ac:dyDescent="0.3">
      <c r="A102" s="2"/>
      <c r="B102" s="56">
        <v>2</v>
      </c>
      <c r="C102" s="56" t="s">
        <v>154</v>
      </c>
      <c r="D102" s="2"/>
      <c r="E102" s="47"/>
      <c r="F102" s="55">
        <v>1480</v>
      </c>
      <c r="G102" s="55">
        <v>992.18</v>
      </c>
      <c r="H102" s="55"/>
      <c r="I102" s="55"/>
      <c r="J102" s="2"/>
      <c r="K102" s="43">
        <v>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x14ac:dyDescent="0.3">
      <c r="A103" s="2"/>
      <c r="B103" s="56">
        <v>3</v>
      </c>
      <c r="C103" s="56" t="s">
        <v>155</v>
      </c>
      <c r="D103" s="2"/>
      <c r="E103" s="47"/>
      <c r="F103" s="55">
        <v>8570</v>
      </c>
      <c r="G103" s="55" t="s">
        <v>156</v>
      </c>
      <c r="H103" s="55">
        <v>500</v>
      </c>
      <c r="I103" s="55"/>
      <c r="J103" s="2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3">
      <c r="A104" s="2"/>
      <c r="B104" s="56">
        <v>4</v>
      </c>
      <c r="C104" s="56" t="s">
        <v>157</v>
      </c>
      <c r="D104" s="2"/>
      <c r="E104" s="47"/>
      <c r="F104" s="55">
        <v>8861</v>
      </c>
      <c r="G104" s="55" t="s">
        <v>156</v>
      </c>
      <c r="H104" s="55"/>
      <c r="I104" s="55"/>
      <c r="J104" s="2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x14ac:dyDescent="0.3">
      <c r="A105" s="2"/>
      <c r="B105" s="56">
        <v>5</v>
      </c>
      <c r="C105" s="56" t="s">
        <v>158</v>
      </c>
      <c r="D105" s="2"/>
      <c r="E105" s="47"/>
      <c r="F105" s="55">
        <v>9110</v>
      </c>
      <c r="G105" s="55" t="s">
        <v>156</v>
      </c>
      <c r="H105" s="55"/>
      <c r="I105" s="55"/>
      <c r="J105" s="2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x14ac:dyDescent="0.3">
      <c r="A106" s="2"/>
      <c r="B106" s="56">
        <v>6</v>
      </c>
      <c r="C106" s="56" t="s">
        <v>159</v>
      </c>
      <c r="D106" s="2"/>
      <c r="E106" s="47"/>
      <c r="F106" s="55">
        <v>3030</v>
      </c>
      <c r="G106" s="55" t="s">
        <v>156</v>
      </c>
      <c r="H106" s="55"/>
      <c r="I106" s="55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x14ac:dyDescent="0.3">
      <c r="A107" s="2"/>
      <c r="B107" s="56">
        <v>7</v>
      </c>
      <c r="C107" s="56" t="s">
        <v>160</v>
      </c>
      <c r="D107" s="2"/>
      <c r="E107" s="47"/>
      <c r="F107" s="55">
        <v>1560</v>
      </c>
      <c r="G107" s="55" t="s">
        <v>156</v>
      </c>
      <c r="H107" s="55"/>
      <c r="I107" s="55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3">
      <c r="A108" s="2"/>
      <c r="B108" s="56">
        <v>8</v>
      </c>
      <c r="C108" s="56" t="s">
        <v>161</v>
      </c>
      <c r="D108" s="2"/>
      <c r="E108" s="47"/>
      <c r="F108" s="55">
        <v>8570</v>
      </c>
      <c r="G108" s="55" t="s">
        <v>156</v>
      </c>
      <c r="H108" s="55"/>
      <c r="I108" s="55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3">
      <c r="A109" s="2"/>
      <c r="B109" s="56">
        <v>9</v>
      </c>
      <c r="C109" s="56" t="s">
        <v>162</v>
      </c>
      <c r="D109" s="2"/>
      <c r="E109" s="47"/>
      <c r="F109" s="55">
        <v>9110</v>
      </c>
      <c r="G109" s="55" t="s">
        <v>156</v>
      </c>
      <c r="H109" s="55"/>
      <c r="I109" s="55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x14ac:dyDescent="0.3">
      <c r="A110" s="2"/>
      <c r="B110" s="56">
        <v>10</v>
      </c>
      <c r="C110" s="56" t="s">
        <v>163</v>
      </c>
      <c r="D110" s="2"/>
      <c r="E110" s="47"/>
      <c r="F110" s="55">
        <v>8861</v>
      </c>
      <c r="G110" s="55" t="s">
        <v>156</v>
      </c>
      <c r="H110" s="55"/>
      <c r="I110" s="5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x14ac:dyDescent="0.3">
      <c r="A111" s="2"/>
      <c r="B111" s="56">
        <v>11</v>
      </c>
      <c r="C111" s="56" t="s">
        <v>164</v>
      </c>
      <c r="D111" s="2"/>
      <c r="E111" s="47"/>
      <c r="F111" s="55">
        <v>2270</v>
      </c>
      <c r="G111" s="55" t="s">
        <v>156</v>
      </c>
      <c r="H111" s="55"/>
      <c r="I111" s="5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x14ac:dyDescent="0.3">
      <c r="A112" s="2"/>
      <c r="B112" s="56">
        <v>12</v>
      </c>
      <c r="C112" s="56" t="s">
        <v>165</v>
      </c>
      <c r="D112" s="2"/>
      <c r="E112" s="47"/>
      <c r="F112" s="55">
        <v>2270</v>
      </c>
      <c r="G112" s="55" t="s">
        <v>156</v>
      </c>
      <c r="H112" s="55"/>
      <c r="I112" s="55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x14ac:dyDescent="0.3">
      <c r="A113" s="2"/>
      <c r="B113" s="56">
        <v>13</v>
      </c>
      <c r="C113" s="56" t="s">
        <v>166</v>
      </c>
      <c r="D113" s="2"/>
      <c r="E113" s="47"/>
      <c r="F113" s="55">
        <v>302</v>
      </c>
      <c r="G113" s="55" t="s">
        <v>156</v>
      </c>
      <c r="H113" s="55"/>
      <c r="I113" s="55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x14ac:dyDescent="0.3">
      <c r="A114" s="2"/>
      <c r="B114" s="56">
        <v>14</v>
      </c>
      <c r="C114" s="56" t="s">
        <v>167</v>
      </c>
      <c r="D114" s="2"/>
      <c r="E114" s="47"/>
      <c r="F114" s="55">
        <v>3560</v>
      </c>
      <c r="G114" s="55" t="s">
        <v>156</v>
      </c>
      <c r="H114" s="55"/>
      <c r="I114" s="55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x14ac:dyDescent="0.3">
      <c r="A115" s="2"/>
      <c r="B115" s="56">
        <v>15</v>
      </c>
      <c r="C115" s="56" t="s">
        <v>168</v>
      </c>
      <c r="D115" s="2"/>
      <c r="E115" s="47"/>
      <c r="F115" s="55">
        <v>70000</v>
      </c>
      <c r="G115" s="55" t="s">
        <v>156</v>
      </c>
      <c r="H115" s="55"/>
      <c r="I115" s="55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3">
      <c r="A116" s="2"/>
      <c r="B116" s="56">
        <v>16</v>
      </c>
      <c r="C116" s="56" t="s">
        <v>169</v>
      </c>
      <c r="D116" s="2"/>
      <c r="E116" s="47"/>
      <c r="F116" s="55"/>
      <c r="G116" s="55"/>
      <c r="H116" s="55"/>
      <c r="I116" s="55"/>
      <c r="J116">
        <v>1771.18</v>
      </c>
      <c r="K116" s="43">
        <v>3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3">
      <c r="A117" s="2"/>
      <c r="B117" s="56">
        <v>17</v>
      </c>
      <c r="C117" s="56" t="s">
        <v>170</v>
      </c>
      <c r="D117" s="2"/>
      <c r="E117" s="47"/>
      <c r="F117" s="55"/>
      <c r="G117" s="55"/>
      <c r="H117" s="55"/>
      <c r="I117" s="55"/>
      <c r="J117">
        <v>20000</v>
      </c>
      <c r="K117" s="43">
        <v>4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x14ac:dyDescent="0.3">
      <c r="A118" s="2"/>
      <c r="B118" s="56"/>
      <c r="C118" s="2"/>
      <c r="D118" s="2"/>
      <c r="E118" s="47"/>
      <c r="F118" s="55"/>
      <c r="G118" s="55"/>
      <c r="H118" s="55"/>
      <c r="I118" s="55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3">
      <c r="A119" s="2"/>
      <c r="B119" s="56"/>
      <c r="C119" s="2"/>
      <c r="D119" s="2"/>
      <c r="E119" s="47"/>
      <c r="F119" s="55"/>
      <c r="G119" s="55"/>
      <c r="H119" s="55"/>
      <c r="I119" s="55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x14ac:dyDescent="0.3">
      <c r="A120" s="2"/>
      <c r="B120" s="56"/>
      <c r="C120" s="2"/>
      <c r="D120" s="2"/>
      <c r="E120" s="47"/>
      <c r="F120" s="55"/>
      <c r="G120" s="55"/>
      <c r="H120" s="55"/>
      <c r="I120" s="55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3">
      <c r="A121" s="2"/>
      <c r="B121" s="56"/>
      <c r="C121" s="2"/>
      <c r="D121" s="2"/>
      <c r="E121" s="47"/>
      <c r="F121" s="55"/>
      <c r="G121" s="55"/>
      <c r="H121" s="55"/>
      <c r="I121" s="55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x14ac:dyDescent="0.3">
      <c r="A122" s="2"/>
      <c r="B122" s="56"/>
      <c r="C122" s="2"/>
      <c r="D122" s="2"/>
      <c r="E122" s="47"/>
      <c r="F122" s="55"/>
      <c r="G122" s="55"/>
      <c r="H122" s="55"/>
      <c r="I122" s="55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x14ac:dyDescent="0.3">
      <c r="A123" s="2"/>
      <c r="B123" s="56"/>
      <c r="C123" s="2"/>
      <c r="D123" s="2"/>
      <c r="E123" s="47"/>
      <c r="F123" s="55"/>
      <c r="G123" s="55"/>
      <c r="H123" s="55"/>
      <c r="I123" s="55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x14ac:dyDescent="0.3">
      <c r="A124" s="2"/>
      <c r="B124" s="56"/>
      <c r="C124" s="2"/>
      <c r="D124" s="2"/>
      <c r="E124" s="47"/>
      <c r="F124" s="55"/>
      <c r="G124" s="55"/>
      <c r="H124" s="55"/>
      <c r="I124" s="55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3">
      <c r="A125" s="2"/>
      <c r="B125" s="56"/>
      <c r="C125" s="2"/>
      <c r="D125" s="2"/>
      <c r="E125" s="47"/>
      <c r="F125" s="55"/>
      <c r="G125" s="55"/>
      <c r="H125" s="55"/>
      <c r="I125" s="55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3">
      <c r="A126" s="2"/>
      <c r="B126" s="56"/>
      <c r="C126" s="2"/>
      <c r="D126" s="2"/>
      <c r="E126" s="47"/>
      <c r="F126" s="55"/>
      <c r="G126" s="55"/>
      <c r="H126" s="55"/>
      <c r="I126" s="55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x14ac:dyDescent="0.3">
      <c r="A127" s="2"/>
      <c r="B127" s="56"/>
      <c r="C127" s="2"/>
      <c r="D127" s="2"/>
      <c r="E127" s="47"/>
      <c r="F127" s="55"/>
      <c r="G127" s="55"/>
      <c r="H127" s="55"/>
      <c r="I127" s="55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x14ac:dyDescent="0.3">
      <c r="A128" s="2"/>
      <c r="B128" s="56"/>
      <c r="C128" s="2"/>
      <c r="D128" s="2"/>
      <c r="E128" s="47"/>
      <c r="F128" s="55"/>
      <c r="G128" s="55"/>
      <c r="H128" s="55"/>
      <c r="I128" s="55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x14ac:dyDescent="0.3">
      <c r="A129" s="2"/>
      <c r="B129" s="56"/>
      <c r="C129" s="2"/>
      <c r="D129" s="2"/>
      <c r="E129" s="47"/>
      <c r="F129" s="55"/>
      <c r="G129" s="55"/>
      <c r="H129" s="55"/>
      <c r="I129" s="55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x14ac:dyDescent="0.3">
      <c r="A130" s="2"/>
      <c r="B130" s="56"/>
      <c r="C130" s="2"/>
      <c r="D130" s="2"/>
      <c r="E130" s="47"/>
      <c r="F130" s="55"/>
      <c r="G130" s="55"/>
      <c r="H130" s="55"/>
      <c r="I130" s="55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x14ac:dyDescent="0.3">
      <c r="A131" s="2"/>
      <c r="B131" s="56"/>
      <c r="C131" s="2"/>
      <c r="D131" s="2"/>
      <c r="E131" s="47"/>
      <c r="F131" s="55"/>
      <c r="G131" s="55"/>
      <c r="H131" s="55"/>
      <c r="I131" s="55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x14ac:dyDescent="0.3">
      <c r="A132" s="2"/>
      <c r="B132" s="56"/>
      <c r="C132" s="2"/>
      <c r="D132" s="2"/>
      <c r="E132" s="47"/>
      <c r="F132" s="55"/>
      <c r="G132" s="55"/>
      <c r="H132" s="55"/>
      <c r="I132" s="55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3">
      <c r="A133" s="2"/>
      <c r="B133" s="56"/>
      <c r="C133" s="2"/>
      <c r="D133" s="2"/>
      <c r="E133" s="47"/>
      <c r="F133" s="55"/>
      <c r="G133" s="55"/>
      <c r="H133" s="55"/>
      <c r="I133" s="55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x14ac:dyDescent="0.3">
      <c r="A134" s="2"/>
      <c r="B134" s="56"/>
      <c r="C134" s="2"/>
      <c r="D134" s="2"/>
      <c r="E134" s="47"/>
      <c r="F134" s="55"/>
      <c r="G134" s="55"/>
      <c r="H134" s="55"/>
      <c r="I134" s="55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x14ac:dyDescent="0.3">
      <c r="A135" s="2"/>
      <c r="B135" s="57"/>
      <c r="C135" s="58"/>
      <c r="D135" s="58"/>
      <c r="E135" s="59"/>
      <c r="F135" s="60"/>
      <c r="G135" s="61"/>
      <c r="H135" s="62"/>
      <c r="I135" s="61">
        <v>1000</v>
      </c>
      <c r="J135" s="6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x14ac:dyDescent="0.3">
      <c r="A136" s="2"/>
      <c r="B136" s="28" t="s">
        <v>171</v>
      </c>
      <c r="C136" s="2"/>
      <c r="D136" s="2"/>
      <c r="E136" s="47"/>
      <c r="F136" s="55">
        <f>SUM(F101:F135)</f>
        <v>139114</v>
      </c>
      <c r="G136" s="64">
        <f>SUM(G101:G135)</f>
        <v>2203.11</v>
      </c>
      <c r="H136" s="65">
        <f>SUM(H101:H135)</f>
        <v>500</v>
      </c>
      <c r="I136" s="65">
        <f>SUM(I101:I135)</f>
        <v>1000</v>
      </c>
      <c r="J136" s="66">
        <f>SUM(J101:J135)</f>
        <v>21771.18</v>
      </c>
      <c r="K136" s="2"/>
      <c r="L136" s="2"/>
      <c r="M136" s="66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x14ac:dyDescent="0.3">
      <c r="A137" s="47"/>
      <c r="B137" s="67">
        <v>18</v>
      </c>
      <c r="C137" s="5" t="s">
        <v>172</v>
      </c>
      <c r="D137" s="5"/>
      <c r="E137" s="40"/>
      <c r="F137" s="68">
        <f>B137*F136/100</f>
        <v>25040.52</v>
      </c>
      <c r="G137" s="69">
        <f>B137*G136/100</f>
        <v>396.55980000000005</v>
      </c>
      <c r="H137" s="68">
        <f>B137*H136/100</f>
        <v>90</v>
      </c>
      <c r="I137" s="68">
        <f>18*I136/100</f>
        <v>180</v>
      </c>
      <c r="J137" s="66"/>
      <c r="K137" s="2"/>
      <c r="L137" s="2"/>
      <c r="M137" s="66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x14ac:dyDescent="0.3">
      <c r="A138" s="2"/>
      <c r="B138" s="28" t="s">
        <v>171</v>
      </c>
      <c r="C138" s="2"/>
      <c r="D138" s="2"/>
      <c r="E138" s="2"/>
      <c r="F138" s="64">
        <f>SUM(F136:F137)</f>
        <v>164154.51999999999</v>
      </c>
      <c r="G138" s="64">
        <f>SUM(G136:G137)</f>
        <v>2599.6698000000001</v>
      </c>
      <c r="H138" s="64">
        <f>SUM(H136:H137)</f>
        <v>590</v>
      </c>
      <c r="I138" s="65">
        <f>SUM(I136:I137)</f>
        <v>1180</v>
      </c>
      <c r="J138" s="6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x14ac:dyDescent="0.3">
      <c r="A139" s="2"/>
      <c r="B139" s="70" t="s">
        <v>173</v>
      </c>
      <c r="C139" s="2"/>
      <c r="D139" s="2"/>
      <c r="E139" s="2"/>
      <c r="F139" s="64"/>
      <c r="G139" s="64"/>
      <c r="H139" s="64"/>
      <c r="I139" s="6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x14ac:dyDescent="0.3">
      <c r="A140" s="2"/>
      <c r="B140" s="31">
        <f>J96</f>
        <v>0</v>
      </c>
      <c r="C140" s="5" t="s">
        <v>174</v>
      </c>
      <c r="D140" s="5"/>
      <c r="E140" s="40"/>
      <c r="F140" s="71"/>
      <c r="G140" s="71">
        <f>B140*G138/100</f>
        <v>0</v>
      </c>
      <c r="H140" s="71">
        <f>H138/2</f>
        <v>295</v>
      </c>
      <c r="I140" s="65">
        <v>0</v>
      </c>
      <c r="J140" s="6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thickBot="1" x14ac:dyDescent="0.35">
      <c r="A141" s="2"/>
      <c r="B141" s="20" t="s">
        <v>175</v>
      </c>
      <c r="C141" s="21"/>
      <c r="D141" s="21"/>
      <c r="E141" s="45"/>
      <c r="F141" s="72">
        <f>F138</f>
        <v>164154.51999999999</v>
      </c>
      <c r="G141" s="73">
        <f>G138-G140</f>
        <v>2599.6698000000001</v>
      </c>
      <c r="H141" s="72">
        <f>H138-H140</f>
        <v>295</v>
      </c>
      <c r="I141" s="73">
        <f>I138-I140</f>
        <v>1180</v>
      </c>
      <c r="J141" s="6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thickBot="1" x14ac:dyDescent="0.35">
      <c r="A142" s="2"/>
      <c r="B142" s="39" t="s">
        <v>176</v>
      </c>
      <c r="C142" s="5"/>
      <c r="D142" s="21"/>
      <c r="E142" s="74"/>
      <c r="F142" s="75">
        <f>F141</f>
        <v>164154.51999999999</v>
      </c>
      <c r="G142" s="76">
        <f>G141+H141+I141+J141</f>
        <v>4074.6698000000001</v>
      </c>
      <c r="H142" s="77"/>
      <c r="I142" s="4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x14ac:dyDescent="0.3">
      <c r="A143" s="2"/>
      <c r="B143" s="4"/>
      <c r="C143" s="2"/>
      <c r="D143" s="2"/>
      <c r="E143" s="2"/>
      <c r="F143" s="63"/>
      <c r="G143" s="6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x14ac:dyDescent="0.3">
      <c r="A144" s="2"/>
      <c r="B144" s="4" t="s">
        <v>177</v>
      </c>
      <c r="C144" s="2"/>
      <c r="D144" s="2"/>
      <c r="E144" s="2"/>
      <c r="F144" s="2"/>
      <c r="G144" s="78">
        <f>G140+H140+J140+I140</f>
        <v>295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x14ac:dyDescent="0.3">
      <c r="A145" s="2"/>
      <c r="B145" s="2"/>
      <c r="C145" s="2"/>
      <c r="D145" s="2"/>
      <c r="E145" s="2"/>
      <c r="F145" s="2"/>
      <c r="G145" s="2"/>
      <c r="H145" s="2"/>
      <c r="I145" s="4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x14ac:dyDescent="0.3">
      <c r="A146" s="2"/>
      <c r="B146" s="2"/>
      <c r="C146" s="2"/>
      <c r="D146" s="2"/>
      <c r="E146" s="2"/>
      <c r="F146" s="2"/>
      <c r="G146" s="2"/>
      <c r="H146" s="2"/>
      <c r="I146" s="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x14ac:dyDescent="0.3">
      <c r="A147" s="2"/>
      <c r="B147" s="2"/>
      <c r="C147" s="2"/>
      <c r="D147" s="2"/>
      <c r="E147" s="2"/>
      <c r="F147" s="2"/>
      <c r="G147" s="2"/>
      <c r="H147" s="2"/>
      <c r="I147" s="4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x14ac:dyDescent="0.3">
      <c r="A148" s="2"/>
      <c r="B148" s="2"/>
      <c r="C148" s="2"/>
      <c r="D148" s="2"/>
      <c r="E148" s="2"/>
      <c r="F148" s="2"/>
      <c r="G148" s="2"/>
      <c r="H148" s="2"/>
      <c r="I148" s="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x14ac:dyDescent="0.3">
      <c r="A149" s="2"/>
      <c r="B149" s="2"/>
      <c r="C149" s="2"/>
      <c r="D149" s="2"/>
      <c r="E149" s="2"/>
      <c r="F149" s="2"/>
      <c r="G149" s="2"/>
      <c r="H149" s="2"/>
      <c r="I149" s="4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3">
      <c r="A150" s="2"/>
      <c r="B150" s="2"/>
      <c r="C150" s="2"/>
      <c r="D150" s="2"/>
      <c r="E150" s="2"/>
      <c r="F150" s="2"/>
      <c r="G150" s="2"/>
      <c r="H150" s="2"/>
      <c r="I150" s="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3">
      <c r="A151" s="2"/>
      <c r="B151" s="2"/>
      <c r="C151" s="2"/>
      <c r="D151" s="2"/>
      <c r="E151" s="2"/>
      <c r="F151" s="2"/>
      <c r="G151" s="2"/>
      <c r="H151" s="2"/>
      <c r="I151" s="4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x14ac:dyDescent="0.3">
      <c r="A152" s="2"/>
      <c r="B152" s="2"/>
      <c r="C152" s="2"/>
      <c r="D152" s="2"/>
      <c r="E152" s="2"/>
      <c r="F152" s="2"/>
      <c r="G152" s="2"/>
      <c r="H152" s="2"/>
      <c r="I152" s="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3">
      <c r="A153" s="2"/>
      <c r="B153" s="11" t="s">
        <v>178</v>
      </c>
      <c r="C153" s="2"/>
      <c r="D153" s="2"/>
      <c r="E153" s="2"/>
      <c r="F153" s="2"/>
      <c r="G153" s="78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x14ac:dyDescent="0.3">
      <c r="A154" s="2"/>
      <c r="B154" s="2"/>
      <c r="C154" s="2"/>
      <c r="D154" s="2"/>
      <c r="E154" s="2"/>
      <c r="F154" s="2"/>
      <c r="G154" s="78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x14ac:dyDescent="0.3">
      <c r="A155" s="2"/>
      <c r="B155" s="79" t="s">
        <v>179</v>
      </c>
      <c r="C155" s="21"/>
      <c r="D155" s="21"/>
      <c r="E155" s="21"/>
      <c r="F155" s="21"/>
      <c r="G155" s="80"/>
      <c r="H155" s="21"/>
      <c r="I155" s="8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x14ac:dyDescent="0.3">
      <c r="A156" s="2"/>
      <c r="B156" s="82" t="s">
        <v>145</v>
      </c>
      <c r="C156" s="83" t="s">
        <v>180</v>
      </c>
      <c r="D156" s="21"/>
      <c r="E156" s="45"/>
      <c r="F156" s="84" t="s">
        <v>181</v>
      </c>
      <c r="G156" s="85" t="s">
        <v>182</v>
      </c>
      <c r="H156" s="86" t="s">
        <v>183</v>
      </c>
      <c r="I156" s="87" t="s">
        <v>184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x14ac:dyDescent="0.3">
      <c r="A157" s="2"/>
      <c r="B157" s="56"/>
      <c r="C157" s="2"/>
      <c r="D157" s="2"/>
      <c r="E157" s="2"/>
      <c r="F157" s="88"/>
      <c r="G157" s="89"/>
      <c r="H157" s="90"/>
      <c r="I157" s="8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3">
      <c r="A158" s="2"/>
      <c r="B158" s="56"/>
      <c r="C158" s="2"/>
      <c r="D158" s="2"/>
      <c r="E158" s="2"/>
      <c r="F158" s="91"/>
      <c r="G158" s="89"/>
      <c r="H158" s="90"/>
      <c r="I158" s="9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x14ac:dyDescent="0.3">
      <c r="A159" s="2"/>
      <c r="B159" s="56"/>
      <c r="C159" s="2"/>
      <c r="D159" s="2"/>
      <c r="E159" s="2"/>
      <c r="F159" s="91"/>
      <c r="G159" s="89"/>
      <c r="H159" s="90"/>
      <c r="I159" s="9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x14ac:dyDescent="0.3">
      <c r="A160" s="2"/>
      <c r="B160" s="56"/>
      <c r="C160" s="2"/>
      <c r="D160" s="2"/>
      <c r="E160" s="2"/>
      <c r="F160" s="91"/>
      <c r="G160" s="89"/>
      <c r="H160" s="90"/>
      <c r="I160" s="9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x14ac:dyDescent="0.3">
      <c r="A161" s="2"/>
      <c r="B161" s="56"/>
      <c r="C161" s="2"/>
      <c r="D161" s="2"/>
      <c r="E161" s="2"/>
      <c r="F161" s="92"/>
      <c r="G161" s="89"/>
      <c r="H161" s="90"/>
      <c r="I161" s="9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3">
      <c r="A162" s="2"/>
      <c r="B162" s="37" t="s">
        <v>171</v>
      </c>
      <c r="C162" s="50"/>
      <c r="D162" s="50"/>
      <c r="E162" s="50"/>
      <c r="F162" s="65">
        <f>SUM(F157:F161)</f>
        <v>0</v>
      </c>
      <c r="G162" s="93">
        <f>SUM(G157:G161)</f>
        <v>0</v>
      </c>
      <c r="H162" s="94">
        <f>SUM(H157:H161)</f>
        <v>0</v>
      </c>
      <c r="I162" s="55">
        <f>SUM(I157:I161)</f>
        <v>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x14ac:dyDescent="0.3">
      <c r="A163" s="2"/>
      <c r="B163" s="31"/>
      <c r="C163" s="5"/>
      <c r="D163" s="5"/>
      <c r="E163" s="5"/>
      <c r="F163" s="68"/>
      <c r="G163" s="95"/>
      <c r="H163" s="68"/>
      <c r="I163" s="60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thickBot="1" x14ac:dyDescent="0.35">
      <c r="A164" s="47"/>
      <c r="B164" s="79" t="s">
        <v>171</v>
      </c>
      <c r="C164" s="21"/>
      <c r="D164" s="21"/>
      <c r="E164" s="21"/>
      <c r="F164" s="73">
        <f>F162</f>
        <v>0</v>
      </c>
      <c r="G164" s="96">
        <f>G162</f>
        <v>0</v>
      </c>
      <c r="H164" s="94">
        <f>H162</f>
        <v>0</v>
      </c>
      <c r="I164" s="97">
        <f>I162-I163</f>
        <v>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thickBot="1" x14ac:dyDescent="0.35">
      <c r="A165" s="2"/>
      <c r="B165" s="39"/>
      <c r="C165" s="5"/>
      <c r="D165" s="58" t="s">
        <v>185</v>
      </c>
      <c r="E165" s="5"/>
      <c r="F165" s="95"/>
      <c r="G165" s="95"/>
      <c r="H165" s="98">
        <f>F164+G164+H164+I164</f>
        <v>0</v>
      </c>
      <c r="I165" s="99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x14ac:dyDescent="0.3">
      <c r="A166" s="2"/>
      <c r="B166" s="100"/>
      <c r="C166" s="50"/>
      <c r="D166" s="50"/>
      <c r="E166" s="50"/>
      <c r="F166" s="93"/>
      <c r="G166" s="93"/>
      <c r="H166" s="66"/>
      <c r="I166" s="66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x14ac:dyDescent="0.3">
      <c r="A167" s="2"/>
      <c r="B167" s="79" t="s">
        <v>186</v>
      </c>
      <c r="C167" s="21"/>
      <c r="D167" s="21"/>
      <c r="E167" s="21"/>
      <c r="F167" s="101"/>
      <c r="G167" s="101"/>
      <c r="H167" s="102" t="s">
        <v>147</v>
      </c>
      <c r="I167" s="102" t="s">
        <v>187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x14ac:dyDescent="0.3">
      <c r="A168" s="2"/>
      <c r="B168" s="70"/>
      <c r="C168" s="2"/>
      <c r="D168" s="2"/>
      <c r="E168" s="2"/>
      <c r="F168" s="66"/>
      <c r="G168" s="66"/>
      <c r="H168" s="65">
        <f>I155</f>
        <v>0</v>
      </c>
      <c r="I168" s="65">
        <f>H165</f>
        <v>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thickBot="1" x14ac:dyDescent="0.35">
      <c r="A169" s="2"/>
      <c r="B169" s="103">
        <f>J97</f>
        <v>18</v>
      </c>
      <c r="C169" s="5" t="s">
        <v>172</v>
      </c>
      <c r="D169" s="2"/>
      <c r="E169" s="2"/>
      <c r="F169" s="66"/>
      <c r="G169" s="66"/>
      <c r="H169" s="65">
        <f>B169*H168/100</f>
        <v>0</v>
      </c>
      <c r="I169" s="65">
        <f>B169*I168/100</f>
        <v>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thickBot="1" x14ac:dyDescent="0.35">
      <c r="A170" s="2"/>
      <c r="B170" s="79" t="s">
        <v>188</v>
      </c>
      <c r="C170" s="21"/>
      <c r="D170" s="21"/>
      <c r="E170" s="21"/>
      <c r="F170" s="104"/>
      <c r="G170" s="104"/>
      <c r="H170" s="105">
        <f>H168+H169</f>
        <v>0</v>
      </c>
      <c r="I170" s="76">
        <f>I168+I169</f>
        <v>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x14ac:dyDescent="0.3">
      <c r="A172" s="2"/>
      <c r="B172" s="4" t="s">
        <v>189</v>
      </c>
      <c r="C172" s="2"/>
      <c r="D172" s="2"/>
      <c r="E172" s="2"/>
      <c r="F172" s="2"/>
      <c r="G172" s="63">
        <f>I170</f>
        <v>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x14ac:dyDescent="0.3">
      <c r="A173" s="2"/>
      <c r="B173" s="5"/>
      <c r="C173" s="5"/>
      <c r="D173" s="5"/>
      <c r="E173" s="5"/>
      <c r="F173" s="5"/>
      <c r="G173" s="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x14ac:dyDescent="0.3">
      <c r="A174" s="2"/>
      <c r="B174" s="39" t="s">
        <v>190</v>
      </c>
      <c r="C174" s="5"/>
      <c r="D174" s="5"/>
      <c r="E174" s="40"/>
      <c r="F174" s="51" t="s">
        <v>147</v>
      </c>
      <c r="G174" s="51" t="s">
        <v>187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x14ac:dyDescent="0.3">
      <c r="A175" s="2"/>
      <c r="B175" s="106" t="s">
        <v>191</v>
      </c>
      <c r="C175" s="50"/>
      <c r="D175" s="50"/>
      <c r="E175" s="50"/>
      <c r="F175" s="94">
        <f>F142</f>
        <v>164154.51999999999</v>
      </c>
      <c r="G175" s="97">
        <f>G142</f>
        <v>4074.6698000000001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x14ac:dyDescent="0.3">
      <c r="A176" s="2"/>
      <c r="B176" s="31" t="s">
        <v>192</v>
      </c>
      <c r="C176" s="5"/>
      <c r="D176" s="5"/>
      <c r="E176" s="5"/>
      <c r="F176" s="68">
        <f>H170</f>
        <v>0</v>
      </c>
      <c r="G176" s="60">
        <f>G172</f>
        <v>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x14ac:dyDescent="0.3">
      <c r="A177" s="2"/>
      <c r="B177" s="28" t="s">
        <v>171</v>
      </c>
      <c r="C177" s="2"/>
      <c r="D177" s="2"/>
      <c r="E177" s="47"/>
      <c r="F177" s="55">
        <f>F175+F176</f>
        <v>164154.51999999999</v>
      </c>
      <c r="G177" s="55">
        <f>G175+G176</f>
        <v>4074.6698000000001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thickBot="1" x14ac:dyDescent="0.35">
      <c r="A178" s="2"/>
      <c r="B178" s="31" t="s">
        <v>193</v>
      </c>
      <c r="C178" s="5"/>
      <c r="D178" s="5"/>
      <c r="E178" s="40"/>
      <c r="F178" s="47"/>
      <c r="G178" s="55">
        <f>J95</f>
        <v>500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thickBot="1" x14ac:dyDescent="0.35">
      <c r="A179" s="2"/>
      <c r="B179" s="39" t="s">
        <v>194</v>
      </c>
      <c r="C179" s="5"/>
      <c r="D179" s="21"/>
      <c r="E179" s="74"/>
      <c r="F179" s="105">
        <f>F177</f>
        <v>164154.51999999999</v>
      </c>
      <c r="G179" s="107">
        <f>G177-G178</f>
        <v>3574.6698000000001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x14ac:dyDescent="0.3">
      <c r="A181" s="2"/>
      <c r="B181" s="2" t="s">
        <v>195</v>
      </c>
      <c r="C181" s="2"/>
      <c r="D181" s="2"/>
      <c r="E181" s="2"/>
      <c r="F181" s="2"/>
      <c r="G181" s="66">
        <v>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x14ac:dyDescent="0.3">
      <c r="A182" s="2"/>
      <c r="B182" s="79" t="s">
        <v>196</v>
      </c>
      <c r="C182" s="21"/>
      <c r="D182" s="21"/>
      <c r="E182" s="21"/>
      <c r="F182" s="21"/>
      <c r="G182" s="81">
        <f>G179-G181</f>
        <v>3574.6698000000001</v>
      </c>
      <c r="H182" s="2"/>
      <c r="I182" s="66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x14ac:dyDescent="0.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x14ac:dyDescent="0.3">
      <c r="A184" s="42"/>
      <c r="B184" s="108" t="s">
        <v>197</v>
      </c>
      <c r="C184" s="13"/>
      <c r="D184" s="13"/>
      <c r="E184" s="13"/>
      <c r="F184" s="13"/>
      <c r="G184" s="13"/>
      <c r="H184" s="13"/>
      <c r="I184" s="13"/>
      <c r="J184" s="13"/>
      <c r="K184" s="1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x14ac:dyDescent="0.3">
      <c r="A185" s="42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x14ac:dyDescent="0.3">
      <c r="A186" s="2"/>
      <c r="B186" s="110" t="s">
        <v>198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3">
      <c r="A187" s="2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x14ac:dyDescent="0.3">
      <c r="A188" s="2"/>
      <c r="B188" s="7">
        <v>1</v>
      </c>
      <c r="C188" s="2" t="s">
        <v>199</v>
      </c>
      <c r="D188" s="2"/>
      <c r="E188" s="4" t="s">
        <v>19</v>
      </c>
      <c r="F188" s="7" t="str">
        <f>G30</f>
        <v>S00546022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x14ac:dyDescent="0.3">
      <c r="A189" s="2"/>
      <c r="B189" s="7"/>
      <c r="C189" s="2"/>
      <c r="D189" s="2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x14ac:dyDescent="0.3">
      <c r="A190" s="2"/>
      <c r="B190" s="7">
        <v>2</v>
      </c>
      <c r="C190" s="2" t="s">
        <v>200</v>
      </c>
      <c r="D190" s="2"/>
      <c r="E190" s="4" t="s">
        <v>19</v>
      </c>
      <c r="F190" s="7" t="str">
        <f>G31</f>
        <v>N8272201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3">
      <c r="A191" s="2"/>
      <c r="B191" s="4"/>
      <c r="C191" s="2"/>
      <c r="D191" s="2"/>
      <c r="E191" s="2"/>
      <c r="F191" s="2"/>
      <c r="G191" s="2"/>
      <c r="H191" s="2"/>
      <c r="I191" s="2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x14ac:dyDescent="0.3">
      <c r="A192" s="2"/>
      <c r="B192" s="4"/>
      <c r="C192" s="106" t="s">
        <v>201</v>
      </c>
      <c r="D192" s="50"/>
      <c r="E192" s="50"/>
      <c r="F192" s="50"/>
      <c r="G192" s="111"/>
      <c r="H192" s="2"/>
      <c r="I192" s="2"/>
      <c r="J192" s="4" t="s">
        <v>202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x14ac:dyDescent="0.3">
      <c r="A193" s="2"/>
      <c r="B193" s="2"/>
      <c r="C193" s="28"/>
      <c r="D193" s="2"/>
      <c r="E193" s="2"/>
      <c r="F193" s="2"/>
      <c r="G193" s="47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x14ac:dyDescent="0.3">
      <c r="A194" s="2"/>
      <c r="B194" s="4"/>
      <c r="C194" s="112" t="s">
        <v>203</v>
      </c>
      <c r="D194" s="5"/>
      <c r="E194" s="5"/>
      <c r="F194" s="5"/>
      <c r="G194" s="4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3">
      <c r="A195" s="2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x14ac:dyDescent="0.3">
      <c r="A196" s="2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x14ac:dyDescent="0.3">
      <c r="A197" s="2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 t="s">
        <v>204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87" t="s">
        <v>205</v>
      </c>
      <c r="N200" s="113" t="s">
        <v>206</v>
      </c>
      <c r="O200" s="114" t="s">
        <v>207</v>
      </c>
      <c r="P200" s="25"/>
      <c r="Q200" s="114" t="s">
        <v>208</v>
      </c>
      <c r="R200" s="25"/>
      <c r="S200" s="114" t="s">
        <v>209</v>
      </c>
      <c r="T200" s="25"/>
      <c r="U200" s="115" t="s">
        <v>210</v>
      </c>
      <c r="V200" s="30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16"/>
      <c r="N201" s="40"/>
      <c r="O201" s="86" t="s">
        <v>211</v>
      </c>
      <c r="P201" s="85" t="s">
        <v>212</v>
      </c>
      <c r="Q201" s="117" t="s">
        <v>211</v>
      </c>
      <c r="R201" s="85" t="s">
        <v>212</v>
      </c>
      <c r="S201" s="117" t="s">
        <v>211</v>
      </c>
      <c r="T201" s="85" t="s">
        <v>212</v>
      </c>
      <c r="U201" s="118"/>
      <c r="V201" s="35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3">
      <c r="A202" s="2"/>
      <c r="B202" s="4"/>
      <c r="C202" s="2" t="s">
        <v>213</v>
      </c>
      <c r="D202" s="2" t="s">
        <v>214</v>
      </c>
      <c r="E202" s="2"/>
      <c r="F202" s="2"/>
      <c r="G202" s="2"/>
      <c r="H202" s="2"/>
      <c r="I202" s="2"/>
      <c r="J202" s="2"/>
      <c r="K202" s="2"/>
      <c r="L202" s="2"/>
      <c r="M202" s="119"/>
      <c r="N202" s="120">
        <f>G136+H136</f>
        <v>2703.11</v>
      </c>
      <c r="O202" s="119">
        <v>14</v>
      </c>
      <c r="P202" s="121">
        <f>14*N202/100</f>
        <v>378.43540000000002</v>
      </c>
      <c r="Q202" s="122">
        <v>14</v>
      </c>
      <c r="R202" s="121">
        <f>P202</f>
        <v>378.43540000000002</v>
      </c>
      <c r="S202" s="123"/>
      <c r="T202" s="47"/>
      <c r="U202" s="66">
        <f>P202+R202</f>
        <v>756.87080000000003</v>
      </c>
      <c r="V202" s="47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3">
      <c r="A203" s="2"/>
      <c r="B203" s="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19"/>
      <c r="N203" s="120">
        <f>I136</f>
        <v>1000</v>
      </c>
      <c r="O203" s="119">
        <v>9</v>
      </c>
      <c r="P203" s="121">
        <f>9*N203/100</f>
        <v>90</v>
      </c>
      <c r="Q203" s="122">
        <v>9</v>
      </c>
      <c r="R203" s="121">
        <f>P203</f>
        <v>90</v>
      </c>
      <c r="S203" s="124"/>
      <c r="T203" s="47"/>
      <c r="U203" s="66">
        <f>P203+R203</f>
        <v>180</v>
      </c>
      <c r="V203" s="47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x14ac:dyDescent="0.3">
      <c r="A204" s="2"/>
      <c r="B204" s="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19"/>
      <c r="N204" s="120">
        <f>J136</f>
        <v>21771.18</v>
      </c>
      <c r="O204" s="119">
        <v>9</v>
      </c>
      <c r="P204" s="121">
        <f>9*N204/100</f>
        <v>1959.4061999999999</v>
      </c>
      <c r="Q204" s="122">
        <v>9</v>
      </c>
      <c r="R204" s="121">
        <f>P204</f>
        <v>1959.4061999999999</v>
      </c>
      <c r="S204" s="124"/>
      <c r="T204" s="47"/>
      <c r="U204" s="66">
        <f>P204+R204</f>
        <v>3918.8123999999998</v>
      </c>
      <c r="V204" s="47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3">
      <c r="A205" s="2"/>
      <c r="B205" s="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6">
        <v>998729</v>
      </c>
      <c r="N205" s="125">
        <f>I168</f>
        <v>0</v>
      </c>
      <c r="O205" s="36">
        <v>9</v>
      </c>
      <c r="P205" s="126">
        <f>9*N205/100</f>
        <v>0</v>
      </c>
      <c r="Q205" s="127">
        <v>9</v>
      </c>
      <c r="R205" s="126">
        <f>P205</f>
        <v>0</v>
      </c>
      <c r="S205" s="128"/>
      <c r="T205" s="40"/>
      <c r="U205" s="95">
        <f>P205+R205</f>
        <v>0</v>
      </c>
      <c r="V205" s="40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3">
      <c r="A206" s="2"/>
      <c r="B206" s="2"/>
      <c r="C206" s="2"/>
      <c r="D206" s="2" t="s">
        <v>215</v>
      </c>
      <c r="E206" s="2">
        <v>2500</v>
      </c>
      <c r="F206" s="2"/>
      <c r="G206" s="2"/>
      <c r="H206" s="2"/>
      <c r="I206" s="2"/>
      <c r="J206" s="2"/>
      <c r="K206" s="2"/>
      <c r="L206" s="2"/>
      <c r="M206" s="79" t="s">
        <v>216</v>
      </c>
      <c r="N206" s="83"/>
      <c r="O206" s="83"/>
      <c r="P206" s="83"/>
      <c r="Q206" s="22"/>
      <c r="R206" s="22"/>
      <c r="S206" s="83"/>
      <c r="T206" s="83"/>
      <c r="U206" s="104">
        <f>SUM(U202:U205)</f>
        <v>4855.6831999999995</v>
      </c>
      <c r="V206" s="129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15"/>
      <c r="R207" s="15"/>
      <c r="S207" s="4"/>
      <c r="T207" s="4"/>
      <c r="U207" s="63"/>
      <c r="V207" s="4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x14ac:dyDescent="0.3">
      <c r="A209" s="2"/>
      <c r="B209" s="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x14ac:dyDescent="0.3">
      <c r="A210" s="2"/>
      <c r="B210" s="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3">
      <c r="A211" s="2"/>
      <c r="B211" s="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x14ac:dyDescent="0.3">
      <c r="A212" s="2"/>
      <c r="B212" s="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x14ac:dyDescent="0.3">
      <c r="A213" s="2"/>
      <c r="B213" s="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x14ac:dyDescent="0.3">
      <c r="A214" s="2"/>
      <c r="B214" s="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3">
      <c r="A215" s="2"/>
      <c r="B215" s="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x14ac:dyDescent="0.3">
      <c r="A216" s="2"/>
      <c r="B216" s="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x14ac:dyDescent="0.3">
      <c r="A217" s="2"/>
      <c r="B217" s="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3">
      <c r="A218" s="2"/>
      <c r="B218" s="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x14ac:dyDescent="0.3">
      <c r="A219" s="2"/>
      <c r="B219" s="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3">
      <c r="A220" s="2"/>
      <c r="B220" s="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3">
      <c r="A221" s="2"/>
      <c r="B221" s="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x14ac:dyDescent="0.3">
      <c r="A222" s="2"/>
      <c r="B222" s="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x14ac:dyDescent="0.3">
      <c r="A223" s="2"/>
      <c r="B223" s="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x14ac:dyDescent="0.3">
      <c r="A224" s="2"/>
      <c r="B224" s="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x14ac:dyDescent="0.3">
      <c r="A225" s="2"/>
      <c r="B225" s="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x14ac:dyDescent="0.3">
      <c r="A226" s="2"/>
      <c r="B226" s="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x14ac:dyDescent="0.3">
      <c r="A227" s="2"/>
      <c r="B227" s="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3">
      <c r="A228" s="2"/>
      <c r="B228" s="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x14ac:dyDescent="0.3">
      <c r="A229" s="2"/>
      <c r="B229" s="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x14ac:dyDescent="0.3">
      <c r="A230" s="2"/>
      <c r="B230" s="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x14ac:dyDescent="0.3">
      <c r="A231" s="2"/>
      <c r="B231" s="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x14ac:dyDescent="0.3">
      <c r="A232" s="2"/>
      <c r="B232" s="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x14ac:dyDescent="0.3">
      <c r="A233" s="2"/>
      <c r="B233" s="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x14ac:dyDescent="0.3">
      <c r="A234" s="2"/>
      <c r="B234" s="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3">
      <c r="A235" s="2"/>
      <c r="B235" s="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3">
      <c r="A236" s="2"/>
      <c r="B236" s="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x14ac:dyDescent="0.3">
      <c r="A237" s="2"/>
      <c r="B237" s="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x14ac:dyDescent="0.3">
      <c r="A238" s="2"/>
      <c r="B238" s="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3">
      <c r="A239" s="2"/>
      <c r="B239" s="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x14ac:dyDescent="0.3">
      <c r="A240" s="2"/>
      <c r="B240" s="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x14ac:dyDescent="0.3">
      <c r="A241" s="2"/>
      <c r="B241" s="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x14ac:dyDescent="0.3">
      <c r="A242" s="2"/>
      <c r="B242" s="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x14ac:dyDescent="0.3">
      <c r="A243" s="2"/>
      <c r="B243" s="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x14ac:dyDescent="0.3">
      <c r="A244" s="2"/>
      <c r="B244" s="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x14ac:dyDescent="0.3">
      <c r="A245" s="2"/>
      <c r="B245" s="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x14ac:dyDescent="0.3">
      <c r="A246" s="2"/>
      <c r="B246" s="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x14ac:dyDescent="0.3">
      <c r="A247" s="2"/>
      <c r="B247" s="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x14ac:dyDescent="0.3">
      <c r="A248" s="2"/>
      <c r="B248" s="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x14ac:dyDescent="0.3">
      <c r="A249" s="2"/>
      <c r="B249" s="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x14ac:dyDescent="0.3">
      <c r="A250" s="2"/>
      <c r="B250" s="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x14ac:dyDescent="0.3">
      <c r="A251" s="2"/>
      <c r="B251" s="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7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7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7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7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7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7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7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x14ac:dyDescent="0.3">
      <c r="A259" s="2"/>
      <c r="B259" s="2"/>
      <c r="C259" s="2" t="s">
        <v>217</v>
      </c>
      <c r="D259" s="2"/>
      <c r="E259" s="130">
        <v>43789</v>
      </c>
      <c r="F259" s="130"/>
      <c r="G259" s="2"/>
      <c r="H259" s="2"/>
      <c r="I259" s="2"/>
      <c r="J259" s="2"/>
      <c r="K259" s="2"/>
      <c r="L259" s="2"/>
      <c r="M259" s="2"/>
      <c r="N259" s="7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x14ac:dyDescent="0.3">
      <c r="A260" s="2"/>
      <c r="B260" s="2"/>
      <c r="C260" s="2" t="s">
        <v>108</v>
      </c>
      <c r="D260" s="2"/>
      <c r="E260" s="130"/>
      <c r="F260" s="130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x14ac:dyDescent="0.3">
      <c r="A261" s="2"/>
      <c r="B261" s="2"/>
      <c r="C261" s="2"/>
      <c r="D261" s="2"/>
      <c r="E261" s="131"/>
      <c r="F261" s="13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x14ac:dyDescent="0.3">
      <c r="A262" s="2"/>
      <c r="B262" s="2"/>
      <c r="C262" s="2"/>
      <c r="D262" s="2"/>
      <c r="E262" s="46">
        <f>DAYS360(E259,E260,0)/360</f>
        <v>-119.88888888888889</v>
      </c>
      <c r="F262" s="46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3">
      <c r="A268" s="2"/>
      <c r="B268" s="2"/>
      <c r="C268" s="2"/>
      <c r="D268" s="2"/>
      <c r="E268" s="2"/>
      <c r="F268" s="2"/>
      <c r="G268" s="2"/>
      <c r="H268" s="2"/>
      <c r="I268" s="13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x14ac:dyDescent="0.3"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x14ac:dyDescent="0.3"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4:31" x14ac:dyDescent="0.3"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4:31" x14ac:dyDescent="0.3"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4:31" x14ac:dyDescent="0.3"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4:31" x14ac:dyDescent="0.3"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4:31" x14ac:dyDescent="0.3"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4:31" x14ac:dyDescent="0.3"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4:31" x14ac:dyDescent="0.3"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4:31" x14ac:dyDescent="0.3"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4:31" x14ac:dyDescent="0.3"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4:31" x14ac:dyDescent="0.3"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4:31" x14ac:dyDescent="0.3"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4:31" x14ac:dyDescent="0.3"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4:31" x14ac:dyDescent="0.3"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4:31" x14ac:dyDescent="0.3"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4:31" x14ac:dyDescent="0.3"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4:31" x14ac:dyDescent="0.3"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4:31" x14ac:dyDescent="0.3"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4:31" x14ac:dyDescent="0.3"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4:31" x14ac:dyDescent="0.3"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4:31" x14ac:dyDescent="0.3"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4:31" x14ac:dyDescent="0.3"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4:31" x14ac:dyDescent="0.3"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</sheetData>
  <mergeCells count="14">
    <mergeCell ref="U200:V201"/>
    <mergeCell ref="C79:K79"/>
    <mergeCell ref="C82:K82"/>
    <mergeCell ref="B184:K184"/>
    <mergeCell ref="O200:P200"/>
    <mergeCell ref="Q200:R200"/>
    <mergeCell ref="S200:T200"/>
    <mergeCell ref="B12:K12"/>
    <mergeCell ref="G29:H29"/>
    <mergeCell ref="I29:J29"/>
    <mergeCell ref="G30:H30"/>
    <mergeCell ref="I30:J30"/>
    <mergeCell ref="G31:H31"/>
    <mergeCell ref="I31:J31"/>
  </mergeCells>
  <conditionalFormatting sqref="E262:F262">
    <cfRule type="expression" priority="1" stopIfTrue="1">
      <formula>DAYS360(E259,E260,0)/360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JADAV</dc:creator>
  <cp:lastModifiedBy>DHIRAJ JADAV</cp:lastModifiedBy>
  <dcterms:created xsi:type="dcterms:W3CDTF">2026-05-09T10:46:16Z</dcterms:created>
  <dcterms:modified xsi:type="dcterms:W3CDTF">2026-05-22T11:29:11Z</dcterms:modified>
</cp:coreProperties>
</file>