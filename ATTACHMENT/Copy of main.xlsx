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defaultThemeVersion="124226"/>
  <mc:AlternateContent xmlns:mc="http://schemas.openxmlformats.org/markup-compatibility/2006">
    <mc:Choice Requires="x15">
      <x15ac:absPath xmlns:x15ac="http://schemas.microsoft.com/office/spreadsheetml/2010/11/ac" url="C:\Users\jadav\Coding\Automation\UIIC\uiic_automation\ATTACHMENT\"/>
    </mc:Choice>
  </mc:AlternateContent>
  <xr:revisionPtr revIDLastSave="0" documentId="13_ncr:1_{473AD7ED-8087-4F1E-8A3A-B96641252B6F}"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 name="Sheet5" sheetId="3" r:id="rId3"/>
    <sheet name="Sheet6"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5" i="4" l="1"/>
  <c r="F15" i="4" s="1"/>
  <c r="D14" i="4"/>
  <c r="F14" i="4" s="1"/>
  <c r="F13" i="4"/>
  <c r="D12" i="4"/>
  <c r="F12" i="4" s="1"/>
  <c r="D11" i="4"/>
  <c r="F11" i="4" s="1"/>
  <c r="D10" i="4"/>
  <c r="F10" i="4" s="1"/>
  <c r="F9" i="4"/>
  <c r="D8" i="4"/>
  <c r="F8" i="4" s="1"/>
  <c r="D7" i="4"/>
  <c r="F7" i="4" s="1"/>
  <c r="H39" i="3"/>
  <c r="K25" i="3"/>
  <c r="G25" i="3"/>
  <c r="G23" i="3"/>
  <c r="G22" i="3"/>
  <c r="G20" i="3"/>
  <c r="G19" i="3"/>
  <c r="G18" i="3"/>
  <c r="G16" i="3"/>
  <c r="G15" i="3"/>
  <c r="L10" i="3"/>
  <c r="F9" i="2"/>
  <c r="E440" i="1"/>
  <c r="G378" i="1"/>
  <c r="G375" i="1"/>
  <c r="F375" i="1"/>
  <c r="G374" i="1"/>
  <c r="G373" i="1"/>
  <c r="F373" i="1"/>
  <c r="G372" i="1"/>
  <c r="F372" i="1"/>
  <c r="G371" i="1"/>
  <c r="F371" i="1"/>
  <c r="G368" i="1"/>
  <c r="I366" i="1"/>
  <c r="H366" i="1"/>
  <c r="I365" i="1"/>
  <c r="H365" i="1"/>
  <c r="B365" i="1"/>
  <c r="I364" i="1"/>
  <c r="H364" i="1"/>
  <c r="H361" i="1"/>
  <c r="I360" i="1"/>
  <c r="H360" i="1"/>
  <c r="G360" i="1"/>
  <c r="F360" i="1"/>
  <c r="I359" i="1"/>
  <c r="I358" i="1"/>
  <c r="H358" i="1"/>
  <c r="G358" i="1"/>
  <c r="F358" i="1"/>
  <c r="G343" i="1"/>
  <c r="G341" i="1"/>
  <c r="F341" i="1"/>
  <c r="I340" i="1"/>
  <c r="H340" i="1"/>
  <c r="G340" i="1"/>
  <c r="F340" i="1"/>
  <c r="H339" i="1"/>
  <c r="G339" i="1"/>
  <c r="I337" i="1"/>
  <c r="H337" i="1"/>
  <c r="G337" i="1"/>
  <c r="F337" i="1"/>
  <c r="I336" i="1"/>
  <c r="H336" i="1"/>
  <c r="G336" i="1"/>
  <c r="F336" i="1"/>
  <c r="J335" i="1"/>
  <c r="I335" i="1"/>
  <c r="H335" i="1"/>
  <c r="G335" i="1"/>
  <c r="F335" i="1"/>
  <c r="F96" i="1"/>
  <c r="J96" i="1" s="1"/>
  <c r="B339" i="1" s="1"/>
  <c r="F20" i="4" l="1"/>
  <c r="F22" i="4" s="1"/>
  <c r="F24" i="4" s="1"/>
  <c r="D16" i="4"/>
  <c r="D19" i="4" s="1"/>
  <c r="C22" i="4" s="1"/>
  <c r="F23" i="4" s="1"/>
  <c r="F25" i="4" l="1"/>
</calcChain>
</file>

<file path=xl/sharedStrings.xml><?xml version="1.0" encoding="utf-8"?>
<sst xmlns="http://schemas.openxmlformats.org/spreadsheetml/2006/main" count="587" uniqueCount="461">
  <si>
    <t>Er. SUNIL KUMAR</t>
  </si>
  <si>
    <t># 304, Village: Daria,</t>
  </si>
  <si>
    <t>SURVEYOR &amp; LOSS ASSESSOR</t>
  </si>
  <si>
    <t>Near Railway Station, Chandigarh</t>
  </si>
  <si>
    <t>LICENCE NO: 73070   EXPIRY: 08.02.2028</t>
  </si>
  <si>
    <t>Mobile: 098761-35253</t>
  </si>
  <si>
    <t>PAN NO:  AQUPK1480C</t>
  </si>
  <si>
    <t>e-mail:- ksunilsurveyor@gmail.com</t>
  </si>
  <si>
    <t>Ref:</t>
  </si>
  <si>
    <t>final</t>
  </si>
  <si>
    <t>Date:</t>
  </si>
  <si>
    <t>PRIVATE &amp; CONFIDENTIAL SURVEY REPORT</t>
  </si>
  <si>
    <t>The report is issued by me as Licenced surveyor without prejudice in respect of cause, nature &amp; extent of loss/damages and subject to the terms and conditions of Insurance Policy.</t>
  </si>
  <si>
    <t>INSURERS</t>
  </si>
  <si>
    <t>:</t>
  </si>
  <si>
    <t>UNITED INDIA INSURANCE CO. LTD.</t>
  </si>
  <si>
    <t>IDV=</t>
  </si>
  <si>
    <t>ADDRESS</t>
  </si>
  <si>
    <t>NEAR GOVT HIGH SCHOOL, HANDLOOM STREET SURGAPURI KOTKAPURA, DISTT.FARIDKOT KOTKAPURA, FARIDKOT, PB 151204</t>
  </si>
  <si>
    <t>98131-</t>
  </si>
  <si>
    <t>Nitu</t>
  </si>
  <si>
    <t>udaanaaa</t>
  </si>
  <si>
    <t xml:space="preserve">COVER NOTE/POLICY NO.     </t>
  </si>
  <si>
    <t>2012823125P111997595</t>
  </si>
  <si>
    <t>Period:</t>
  </si>
  <si>
    <t>27/10/2025 to 26/10/2026</t>
  </si>
  <si>
    <t>INSURED</t>
  </si>
  <si>
    <t>MR BALKAR SINGH</t>
  </si>
  <si>
    <t xml:space="preserve">ADDRESS </t>
  </si>
  <si>
    <t>H NO B-9/939 W NO 20 KOTKAPURA SURG, PURI NEAR GOVT SCHOOL, FARIDKOT, PB, 151204</t>
  </si>
  <si>
    <t>CONTACT NO.</t>
  </si>
  <si>
    <t>9888902800</t>
  </si>
  <si>
    <t>HPA WITH</t>
  </si>
  <si>
    <t>AU SMALL FINANCE BANK LTD</t>
  </si>
  <si>
    <t>VEHICLE PARTICULARS</t>
  </si>
  <si>
    <t>RC Original Checked &amp; Found In Order</t>
  </si>
  <si>
    <t>Registration No. / RTO</t>
  </si>
  <si>
    <t>PB03BH1786 / RTO: RTO FEROZ</t>
  </si>
  <si>
    <t>Date of Registration issue</t>
  </si>
  <si>
    <t>22/10/2021</t>
  </si>
  <si>
    <t>Date of Registration expiry</t>
  </si>
  <si>
    <t>21/10/2036</t>
  </si>
  <si>
    <t>Chassis No</t>
  </si>
  <si>
    <t>MA3BNC22SMK395069</t>
  </si>
  <si>
    <t>Physically Checked</t>
  </si>
  <si>
    <t>Engine No</t>
  </si>
  <si>
    <t>K15BN1234400</t>
  </si>
  <si>
    <t>Make &amp; Year of Manufacturer</t>
  </si>
  <si>
    <t>MARUTI SUZUKI / ERTIGA SMART HYBRID VXI 1.5L SMT</t>
  </si>
  <si>
    <t>Type of Body</t>
  </si>
  <si>
    <t>RIGID (PASSENGER CAR)</t>
  </si>
  <si>
    <t>Class of Vehicle</t>
  </si>
  <si>
    <t>Motor Car</t>
  </si>
  <si>
    <t>Pre-Accident Condition</t>
  </si>
  <si>
    <t>GOOD</t>
  </si>
  <si>
    <t>Registered Laden Weight</t>
  </si>
  <si>
    <t>1795</t>
  </si>
  <si>
    <t>Unladen Weight</t>
  </si>
  <si>
    <t>1235</t>
  </si>
  <si>
    <t>Fitness Cert. Valid upto</t>
  </si>
  <si>
    <t>Permit No. / Authorization No.</t>
  </si>
  <si>
    <t>Permit No: PB2024-AITP-2340A / Auth No: AZ/PB/1/032024/12398</t>
  </si>
  <si>
    <t>Permit Validity / Authorization Validity</t>
  </si>
  <si>
    <t>Permit: 10/03/2029 / Auth: 11/03/2025</t>
  </si>
  <si>
    <t>Type of Permit</t>
  </si>
  <si>
    <t>TOURIST PERMIT (TVP(MOTOR CAB))-AIR-CONDITIONER</t>
  </si>
  <si>
    <t>Route/area of Operation</t>
  </si>
  <si>
    <t>Whole India</t>
  </si>
  <si>
    <t xml:space="preserve">Seating Capacity </t>
  </si>
  <si>
    <t>7</t>
  </si>
  <si>
    <t>Road Tax Paid Upto</t>
  </si>
  <si>
    <t>Fuel Used</t>
  </si>
  <si>
    <t>PETROL/CNG</t>
  </si>
  <si>
    <t>Colour</t>
  </si>
  <si>
    <t>PEARL ARCTIC WHITE</t>
  </si>
  <si>
    <t>Name of Regd. Owner as per RC</t>
  </si>
  <si>
    <t>BALKAR SINGH</t>
  </si>
  <si>
    <t>DRIVER'S PARTICULARS</t>
  </si>
  <si>
    <t>DL Original Checked &amp; Found In Order</t>
  </si>
  <si>
    <t>Name of Driver</t>
  </si>
  <si>
    <t>DOB:</t>
  </si>
  <si>
    <t>01/10/1972</t>
  </si>
  <si>
    <t>Address</t>
  </si>
  <si>
    <t xml:space="preserve">LICENCE NO. </t>
  </si>
  <si>
    <t>PB-0420130022279</t>
  </si>
  <si>
    <t>Date of issue</t>
  </si>
  <si>
    <t>03/04/2013</t>
  </si>
  <si>
    <t>Valid Till</t>
  </si>
  <si>
    <t>NTR: 30/09/2032 | TR: 15/12/2027</t>
  </si>
  <si>
    <t>Issuing Authority</t>
  </si>
  <si>
    <t>FARIDKOT RTA</t>
  </si>
  <si>
    <t>Type of Licence</t>
  </si>
  <si>
    <t>MCWG, LMV, TRANS</t>
  </si>
  <si>
    <t>ACCIDENT HISTORY</t>
  </si>
  <si>
    <t>Date of Accident</t>
  </si>
  <si>
    <t>07/04/2026 | Time: 5:30 AM</t>
  </si>
  <si>
    <t>18.06.2023</t>
  </si>
  <si>
    <t>Place of Accident</t>
  </si>
  <si>
    <t>Rohtak, Haryana</t>
  </si>
  <si>
    <t>DETAIL OF SURVEY</t>
  </si>
  <si>
    <t>Date of Allotment of Survey</t>
  </si>
  <si>
    <t>09/04/2026</t>
  </si>
  <si>
    <t>Date and Time of Survey</t>
  </si>
  <si>
    <t xml:space="preserve">and onwards </t>
  </si>
  <si>
    <t>Date of Spot Survey Report Recd.</t>
  </si>
  <si>
    <t>26/03/2026</t>
  </si>
  <si>
    <t>Person Present at the Time of Survey</t>
  </si>
  <si>
    <t>Repairer was present</t>
  </si>
  <si>
    <t>PLACE OF SURVEY</t>
  </si>
  <si>
    <t>SM Auto Care Centre, Opp. I.T.I., G. T. Road, Moga -142 001 (Pb.)</t>
  </si>
  <si>
    <t>Workshop</t>
  </si>
  <si>
    <t>Status</t>
  </si>
  <si>
    <t>FIR DETAIL</t>
  </si>
  <si>
    <t>No: 098 | Dt: 05/07/2025 | PS: PS SECTOR 19</t>
  </si>
  <si>
    <t>INJURY/THIRD PARTY LOSS</t>
  </si>
  <si>
    <t>NA</t>
  </si>
  <si>
    <t>CAUSE AND NATURE OF ACCIDENT</t>
  </si>
  <si>
    <t>As stated in the Claim Form,</t>
  </si>
  <si>
    <t>OBERVATIONS/COMMENTS</t>
  </si>
  <si>
    <t>As per the instructions of The Oriental Insurance Co Ltd, RO:-Service Centre, Sector-17, Chandigarh. I visited the Repairer's workshop. The Vehicle was carefully inspected, its damages were noted and photographs taken. The Photographs in the Under Repair Condition were also taken. The damages are commensurate with the cause and nature of accident.</t>
  </si>
  <si>
    <t>MAIN DAMAGES</t>
  </si>
  <si>
    <t>NOTES:</t>
  </si>
  <si>
    <t>Case allotted by The Oriental Insurance Co Ltd, RO: Service Centre, Sector-17, Chandigarh</t>
  </si>
  <si>
    <t>The loss of damage or liability has arisen proximately caused by the insured peril.</t>
  </si>
  <si>
    <t>None of the exclusion under the policy has is caused loss of damage or liability.</t>
  </si>
  <si>
    <t>The salvage of the vehicle has been destroyed/crushed in the presence of the Repairer.</t>
  </si>
  <si>
    <t>Re-inspection too has been done by me. All the replacemnets of parts and repair job have been dully carried out.</t>
  </si>
  <si>
    <t>At the time of survey, I talked with Insured and discussed about the loss. About the loss, Insured told me the same which is mentioned in the Claim Form.</t>
  </si>
  <si>
    <t>DETAIL OF ASSESSMENT</t>
  </si>
  <si>
    <t xml:space="preserve">CUBIC CAPACITY </t>
  </si>
  <si>
    <t>SO, EXCESS CLAUSE (IN RS.)</t>
  </si>
  <si>
    <t>LIFE OF VEHICLE ( IN YEARS )</t>
  </si>
  <si>
    <t>SO, DEP. ON METAL (IN %)</t>
  </si>
  <si>
    <t>GSTIN (IN %) FOR PARTS</t>
  </si>
  <si>
    <t>GSTIN (IN %) FOR LABOUR</t>
  </si>
  <si>
    <t>S.N.</t>
  </si>
  <si>
    <t>Estimated</t>
  </si>
  <si>
    <t>Metal</t>
  </si>
  <si>
    <t>Plastic</t>
  </si>
  <si>
    <t>Glass</t>
  </si>
  <si>
    <t>BOLT FRT HOOD HINGE</t>
  </si>
  <si>
    <t>BOLT</t>
  </si>
  <si>
    <t>SCREW</t>
  </si>
  <si>
    <t>NUT</t>
  </si>
  <si>
    <t>BOLT,8X20</t>
  </si>
  <si>
    <t>SCREW,FR BUMPER SIDE</t>
  </si>
  <si>
    <t>PIN,CAMSHAFT PULLEY DOWEL</t>
  </si>
  <si>
    <t>GROMMET,FRONT HOOD</t>
  </si>
  <si>
    <t>CLAMP</t>
  </si>
  <si>
    <t>.CLIP,COWL TOP SIDE GARNISH</t>
  </si>
  <si>
    <t>CLIP,TRUNK ROOM SIDE TRIM</t>
  </si>
  <si>
    <t>CLIP</t>
  </si>
  <si>
    <t>BULB</t>
  </si>
  <si>
    <t>BULB (12V60W,HB3)</t>
  </si>
  <si>
    <t>BULB (12V, WY21W)</t>
  </si>
  <si>
    <t>HALF ENGINE</t>
  </si>
  <si>
    <t>GASKET, CYLINDER HEAD</t>
  </si>
  <si>
    <t>COVER ASSY, CYLINDER HEAD</t>
  </si>
  <si>
    <t>GASKET,CYLINDER HEAD COVER</t>
  </si>
  <si>
    <t>HOSE, BREATHER</t>
  </si>
  <si>
    <t>PLUG OIL DRAIN</t>
  </si>
  <si>
    <t>MOUNTING,ENG LH</t>
  </si>
  <si>
    <t>ROD COMP,ENG RR TRQ</t>
  </si>
  <si>
    <t>BRACKET,ENG RR TRQ ROD</t>
  </si>
  <si>
    <t>SPROCKET ASSY, CAMSHAFT TIMING</t>
  </si>
  <si>
    <t>SPROCKET,CAMSHAFT TIMING EXH</t>
  </si>
  <si>
    <t>CHAIN,TIMING</t>
  </si>
  <si>
    <t>GUIDE,TIMING CHAIN</t>
  </si>
  <si>
    <t>JET,TIMING CHAIN</t>
  </si>
  <si>
    <t>TENSIONER,TIMING CHAIN</t>
  </si>
  <si>
    <t>SPACER,TIMING CHAIN TENSIONER</t>
  </si>
  <si>
    <t>ADJUSTER ASSY,TENSIONER</t>
  </si>
  <si>
    <t>SENSOR, WATER TEMP</t>
  </si>
  <si>
    <t>SENSOR,INLET AIR TEMP</t>
  </si>
  <si>
    <t>CLEANER ASSY, AIR</t>
  </si>
  <si>
    <t>PIPE,AIR CLNR SUCT</t>
  </si>
  <si>
    <t>HOSE, AIR CLNR SUCT</t>
  </si>
  <si>
    <t>HOSE, AIR CLNR OUT</t>
  </si>
  <si>
    <t>FILTER ASSY OIL</t>
  </si>
  <si>
    <t>PLUG ASSY, OIL DRAIN</t>
  </si>
  <si>
    <t>FAN ASSY, COOLING</t>
  </si>
  <si>
    <t>BELT,WATER PUMP</t>
  </si>
  <si>
    <t>CAP, WTR THERMO</t>
  </si>
  <si>
    <t>RADIATOR ASSY</t>
  </si>
  <si>
    <t>HOSE, RDTR INLET</t>
  </si>
  <si>
    <t>HOSE, RDTR OUTLET</t>
  </si>
  <si>
    <t>BRACKET, RDTR SUPPORT UPPER R</t>
  </si>
  <si>
    <t>BRACKET,RDTR SUPPORT UPPER L</t>
  </si>
  <si>
    <t>HOSE, HTR INLET</t>
  </si>
  <si>
    <t>MOUNT,RADIATOR SUPPORT LOWER</t>
  </si>
  <si>
    <t>MOUNT,RADIATOR SUPPORT UPPER</t>
  </si>
  <si>
    <t>TANK, WATER RESERVE</t>
  </si>
  <si>
    <t>CAP,WATER RESERVE TANK</t>
  </si>
  <si>
    <t>HOSE,RSV TANK</t>
  </si>
  <si>
    <t>.GASKET, VACUUM PUMP</t>
  </si>
  <si>
    <t>COVER,CNG CONT</t>
  </si>
  <si>
    <t>SOCKET</t>
  </si>
  <si>
    <t>UNIT HEADLAMP,RH</t>
  </si>
  <si>
    <t>BULB(H11)</t>
  </si>
  <si>
    <t>DUST CUP</t>
  </si>
  <si>
    <t>UNIT HEADLAMP,LH</t>
  </si>
  <si>
    <t>LAMP ASSY,FOG</t>
  </si>
  <si>
    <t>LAMP ASSY,FOG,L</t>
  </si>
  <si>
    <t>MOTOR ASSY</t>
  </si>
  <si>
    <t>MOTOR&amp;PUMP ASSY,WINDSHIELD</t>
  </si>
  <si>
    <t>TANK</t>
  </si>
  <si>
    <t>GROMMET</t>
  </si>
  <si>
    <t>HORN ASSY,LOW PITCHED</t>
  </si>
  <si>
    <t>HORN ASSY,HIGH PITCHED</t>
  </si>
  <si>
    <t>SIREN ASSY, SECURITY</t>
  </si>
  <si>
    <t>STRUT ASSY,FRONT SPNSN,R</t>
  </si>
  <si>
    <t>STRUT ASSY,FRONT SPNSN,L</t>
  </si>
  <si>
    <t>SUPPORT COMP,FRONT STRUT</t>
  </si>
  <si>
    <t>STOPPER,FRONT STRUT REBOUND</t>
  </si>
  <si>
    <t>BEARING, FRONT STRUT</t>
  </si>
  <si>
    <t>ABSORBER ASSY,REAR SHOCK</t>
  </si>
  <si>
    <t>COVER, STRUT DUST</t>
  </si>
  <si>
    <t>STOPPER,FRONT BUMP</t>
  </si>
  <si>
    <t>BAR,FRONT STABILIZER</t>
  </si>
  <si>
    <t>JOINT,STABILIZER BAR</t>
  </si>
  <si>
    <t>MOUNT,STABILIZER BAR</t>
  </si>
  <si>
    <t>BRACKET, FRONT STABILIZER</t>
  </si>
  <si>
    <t>175/60R15 BLUE EARTH YOKOHAMA</t>
  </si>
  <si>
    <t>TYRE(215/60R16 95H) (MRF)</t>
  </si>
  <si>
    <t>ALLOY WHEEL</t>
  </si>
  <si>
    <t>BOLT,FRONT HUB</t>
  </si>
  <si>
    <t>SHAFT ASSY,FRONT DRIVE,L</t>
  </si>
  <si>
    <t>KNUCKLE,STEERING,R</t>
  </si>
  <si>
    <t>ARM ASSY,FRONT SUSPENSION,R</t>
  </si>
  <si>
    <t>ARM ASSY,FRONT SUSPENSION,L</t>
  </si>
  <si>
    <t>COVER,TORQUE ROD</t>
  </si>
  <si>
    <t>BEAM ASSY REAR SPNSN</t>
  </si>
  <si>
    <t>BOX ASSY STRG GEAR</t>
  </si>
  <si>
    <t>DISC,FRONT BRAKE</t>
  </si>
  <si>
    <t>PAD SET</t>
  </si>
  <si>
    <t>SLIDING PIN SET</t>
  </si>
  <si>
    <t>PANEL,FRONT HOOD</t>
  </si>
  <si>
    <t>HINGE COMP,FRONT HOOD,R</t>
  </si>
  <si>
    <t>HINGE COMP,FRONT HOOD,L</t>
  </si>
  <si>
    <t>PANELFRONT FENDERR</t>
  </si>
  <si>
    <t>FRONT FENDER,L</t>
  </si>
  <si>
    <t>MEMBER COMP,HOOD LOCK</t>
  </si>
  <si>
    <t>.BRACKET,FR BUMPER UPPER</t>
  </si>
  <si>
    <t>MEMBER COMP,FRONT BUMPER</t>
  </si>
  <si>
    <t>BRACKET COMP,FR FENDER LOWER,R</t>
  </si>
  <si>
    <t>PANEL COMPFENDER APRON L</t>
  </si>
  <si>
    <t>BRACKET COMP,FR FENDER LOWER,L</t>
  </si>
  <si>
    <t>MEMBER COMP,FRONT SIDE,R</t>
  </si>
  <si>
    <t>CROSSMEMBER, DASH UPPERR RH</t>
  </si>
  <si>
    <t>BRACKET, HEAD LAMP, R</t>
  </si>
  <si>
    <t>MEMBER COMP,FRONT SIDE,L</t>
  </si>
  <si>
    <t>CROSSMEMBER, DASH UPPERR LH</t>
  </si>
  <si>
    <t>BRACKET, HEAD LAMP, L</t>
  </si>
  <si>
    <t>BRACKET COMP,FRONT FENDER FR,R</t>
  </si>
  <si>
    <t>CROSSMEMBER, DASH UPPERR CTR</t>
  </si>
  <si>
    <t>PANEL COMP,DASH SIDE,R</t>
  </si>
  <si>
    <t>BRACKET,FRONT FENDER RR,R</t>
  </si>
  <si>
    <t>PATCH,FRONT HOOD HINGE,R</t>
  </si>
  <si>
    <t>PANEL COMP,DASH SIDE FRONT,R</t>
  </si>
  <si>
    <t>BRACKET COMP,FRONT FENDER FR,L</t>
  </si>
  <si>
    <t>BRACKET,FRONT FENDER RR,L</t>
  </si>
  <si>
    <t>PATCH,FRONT HOOD HINGE,L</t>
  </si>
  <si>
    <t>PANEL COMP,DASH SIDE FRONT,L</t>
  </si>
  <si>
    <t>BRACE,COWL UPPER</t>
  </si>
  <si>
    <t>REINF COMP,FRONT DOOR HINGE,L</t>
  </si>
  <si>
    <t>PANEL,A-PILLAR LH</t>
  </si>
  <si>
    <t>MEMBER COMP,APRON LOWER</t>
  </si>
  <si>
    <t>BRACKET,APRON LOWER MEMBER,R</t>
  </si>
  <si>
    <t>BRACKET,APRON LOWER MEMBER,L</t>
  </si>
  <si>
    <t>BUMPER,FRONT</t>
  </si>
  <si>
    <t>CAP,FRONT BUMPER</t>
  </si>
  <si>
    <t>GRILLE,RADIATOR LOWER</t>
  </si>
  <si>
    <t>HOLDER,FR BUMPER SIDE,R</t>
  </si>
  <si>
    <t>HOLDER,FR BUMPER SIDE,L</t>
  </si>
  <si>
    <t>HOLDER,FR BUMPER FRONT,R</t>
  </si>
  <si>
    <t>HOLDER,FR BUMPER FRONT,L</t>
  </si>
  <si>
    <t>GRILLE,RADIATOR UPPER</t>
  </si>
  <si>
    <t>GRILLE COMP,RADIATOR UPPER</t>
  </si>
  <si>
    <t>BASE,EMBLEM</t>
  </si>
  <si>
    <t>BEZEL,FRONT FOG LAMP,R</t>
  </si>
  <si>
    <t>COVER,FRONT FOG LAMP BEZEL,R</t>
  </si>
  <si>
    <t>BEZEL,FRONT FOG LAMP,L</t>
  </si>
  <si>
    <t>COVER,FRONT FOG LAMP BEZEL,L</t>
  </si>
  <si>
    <t>STAY SET,FRONT HOOD</t>
  </si>
  <si>
    <t>SEAL SET,HOOD FRONT</t>
  </si>
  <si>
    <t>LINING COMPFRONT FENDER</t>
  </si>
  <si>
    <t>GARNISH COMP,COWL TOP</t>
  </si>
  <si>
    <t>COVER,FRONT FENDER,R</t>
  </si>
  <si>
    <t>COVER,FRONT FENDER,L</t>
  </si>
  <si>
    <t>SEAL,HOOD REAR</t>
  </si>
  <si>
    <t>GARNISH COMP,COWL TOP SIDE,R</t>
  </si>
  <si>
    <t>CUSHION,FRONT HOOD FRONT SIDE</t>
  </si>
  <si>
    <t>CROSSMEMBER COMP,FRONT LOWER</t>
  </si>
  <si>
    <t>COVER,ENGINE UNDER SIDE,R</t>
  </si>
  <si>
    <t>COVER,ENGINE UNDER SIDE,L</t>
  </si>
  <si>
    <t>COVER,FRONT END UPPER,L</t>
  </si>
  <si>
    <t>ABSORBER COMP,FR BUMPER LOWER</t>
  </si>
  <si>
    <t>GARNISH COMP,COWL TOP SIDE,L</t>
  </si>
  <si>
    <t>COVER COMP,FR FENDER UPPER,L</t>
  </si>
  <si>
    <t>COVER,FR FENDER UPPER,R</t>
  </si>
  <si>
    <t>COVER,FR FENDER UPPER,L</t>
  </si>
  <si>
    <t>GARNISH COMP,FR FENDER,R</t>
  </si>
  <si>
    <t>GARNISH COMP,FR FENDER,L</t>
  </si>
  <si>
    <t>EMBLEM,MARK(S)(CHROME)</t>
  </si>
  <si>
    <t>EMBLEM,MARK(S)</t>
  </si>
  <si>
    <t>EMBLEM (MARUTI SUZUKI)</t>
  </si>
  <si>
    <t>EMBLEM, SWIFT (CHROME)</t>
  </si>
  <si>
    <t>EMBLEM(VDI)</t>
  </si>
  <si>
    <t>LATCH COMP,HOOD</t>
  </si>
  <si>
    <t>CABLE COMP,HOOD LATCH RELEASE</t>
  </si>
  <si>
    <t>RUN,REAR DOOR GLASS,L</t>
  </si>
  <si>
    <t>GLASS SET,WINDSHIELD</t>
  </si>
  <si>
    <t>MOLDING WINDSHIELD</t>
  </si>
  <si>
    <t>MIRROR ASSY,OUT REAR VIEW,L</t>
  </si>
  <si>
    <t>KNOB, RCLNG, R</t>
  </si>
  <si>
    <t>COVER, FR RCLNG INSIDE LOWER, R</t>
  </si>
  <si>
    <t>COVER, FR RCLNG INSIDE LOWER, L</t>
  </si>
  <si>
    <t>KNOB, RCLNG, L</t>
  </si>
  <si>
    <t>COVER COMP,FR RCLNG OUTSIDE,L</t>
  </si>
  <si>
    <t>COVER, FR RCLNG INSIDE, L</t>
  </si>
  <si>
    <t>COVER,FR HARNESS BRKT,L</t>
  </si>
  <si>
    <t>PAD COMP,FR BACK,L</t>
  </si>
  <si>
    <t>.HANDLE,FR SEAT ADJUSTER</t>
  </si>
  <si>
    <t>BUSH,FR BACK FIX</t>
  </si>
  <si>
    <t>V-BELT(4PK)</t>
  </si>
  <si>
    <t>CONDENSER ASSY</t>
  </si>
  <si>
    <t>HOSE,SUCTION</t>
  </si>
  <si>
    <t>HOSE,DISCHARGE</t>
  </si>
  <si>
    <t>HOSE,LIQUID NO.1</t>
  </si>
  <si>
    <t>PIPE,SUCTION &amp; LIQUID NO.2</t>
  </si>
  <si>
    <t>PIPE,SUCTION &amp; LIQUID NO.3</t>
  </si>
  <si>
    <t>PIPE ASSY,DRAIN &amp; SUCT</t>
  </si>
  <si>
    <t>PIPE,SUCTION NO.1</t>
  </si>
  <si>
    <t>DG SEALANT SET WITHOUT PRIMER</t>
  </si>
  <si>
    <t>COOLANT (SG) NON AMINE</t>
  </si>
  <si>
    <t>BRAKE FLUID GC1500AA (500 ML PACK)</t>
  </si>
  <si>
    <t>COOLANT PREMIX GOLDEN YELLOW</t>
  </si>
  <si>
    <t>MGP RUST SMASH</t>
  </si>
  <si>
    <t>MASKING TAPE ( 24 MM*30 MTRS)</t>
  </si>
  <si>
    <t>PAPER FLOOR MAT (20X15)</t>
  </si>
  <si>
    <t>AC CAN GAS (340 -FLORON)</t>
  </si>
  <si>
    <t>AC CAN GAS (450GM) SRF</t>
  </si>
  <si>
    <t>MGGO (75W80) - SHELL</t>
  </si>
  <si>
    <t>ECSTAR PETROL 0W20 - MOBIL</t>
  </si>
  <si>
    <t>[Invoice only] BOLT STRUT BRACKET</t>
  </si>
  <si>
    <t>[Invoice only] WHEEL NUT</t>
  </si>
  <si>
    <t>[Invoice only] HOLDER,FR BUMPER SIDE,L</t>
  </si>
  <si>
    <t>SUB TOTAL</t>
  </si>
  <si>
    <t>% ADD GST (9%CGST+9%SGST)</t>
  </si>
  <si>
    <t>LESS DEPRECIATION:</t>
  </si>
  <si>
    <t>% OF METAL &amp; 50% OF PLASTIC</t>
  </si>
  <si>
    <t>NET FOR PARTS</t>
  </si>
  <si>
    <t>TOTAL NET FOR PARTS</t>
  </si>
  <si>
    <t>TOTAL AMOUNT OF DEPRECIATION (In Rs):</t>
  </si>
  <si>
    <t>LABOUR DETAIL</t>
  </si>
  <si>
    <t>LABOUR ESTIMATED</t>
  </si>
  <si>
    <t>DESCRIPTION</t>
  </si>
  <si>
    <t>R/R</t>
  </si>
  <si>
    <t>DENTING</t>
  </si>
  <si>
    <t>C/W</t>
  </si>
  <si>
    <t>PAINTING</t>
  </si>
  <si>
    <t>DENTING CHARGES</t>
  </si>
  <si>
    <t>PAINTING CHARGES</t>
  </si>
  <si>
    <t>LESS COST OF PAINT MATERIAL @25%</t>
  </si>
  <si>
    <t>TOTAL (R/R, DENTING, C/W, PAINTING)</t>
  </si>
  <si>
    <t xml:space="preserve">LABOUR </t>
  </si>
  <si>
    <t>Assessed</t>
  </si>
  <si>
    <t>NET FOR LABOUR</t>
  </si>
  <si>
    <t>TOTAL AMOUNT OF LABOUR ASSESSED (in Rs):</t>
  </si>
  <si>
    <t>SUMMARY</t>
  </si>
  <si>
    <t>PARTS</t>
  </si>
  <si>
    <t>LABOUR</t>
  </si>
  <si>
    <t>LESS EXCESS CLAUSE</t>
  </si>
  <si>
    <t>NET PAYABLE</t>
  </si>
  <si>
    <t xml:space="preserve">LESS SALVAGE VALUE </t>
  </si>
  <si>
    <t>NET PAYABLE AMOUNT</t>
  </si>
  <si>
    <t>Report issued without prejudice or bias and is subject to the term and condition of the Policy and subject claim document being found in order. The Repairer/Insured has concurred with assessment.The damages are commensurate with the cause and nature of accident. The rates allowed are as per Authorised Dealer/Market rates which ever is less. Claim Form, Estimate, SF Bill, Photographs, Photocopies of RC, DL, C.Note, etc etc are enclosed.</t>
  </si>
  <si>
    <t>PAYMENT MADE IN THE FAVOUR OF REPAIRER</t>
  </si>
  <si>
    <t xml:space="preserve">              SUNIL KUMAR</t>
  </si>
  <si>
    <t>CASHLESS CLAIM</t>
  </si>
  <si>
    <t>Date of Registration/isurance</t>
  </si>
  <si>
    <t>MOTOR SURVEY REPORT</t>
  </si>
  <si>
    <t>INSURER</t>
  </si>
  <si>
    <t>Chowk No-1, Gol Market, Jaitu, Faridkot-151202, Punjab</t>
  </si>
  <si>
    <t>VEHICLE REG. NO.</t>
  </si>
  <si>
    <t>PB03BH1786</t>
  </si>
  <si>
    <t>C.NOTE/POLICY NO.</t>
  </si>
  <si>
    <t xml:space="preserve">PERIOD </t>
  </si>
  <si>
    <t>DATE OF LOSS</t>
  </si>
  <si>
    <t>07/04/2026</t>
  </si>
  <si>
    <t>PAYMENT TO BE MADE IN THE FAVOUR OF REPAIRER</t>
  </si>
  <si>
    <t>REPORT SUBMITTED BY:</t>
  </si>
  <si>
    <t xml:space="preserve">          # 304, Village: Daria,</t>
  </si>
  <si>
    <t xml:space="preserve">          Near Railway Station, Chandigarh</t>
  </si>
  <si>
    <t xml:space="preserve">          Mobile: 098761-35253</t>
  </si>
  <si>
    <t xml:space="preserve">          e-mail:- ksunilsurveyor@gmail.com</t>
  </si>
  <si>
    <t xml:space="preserve"># 304, Village: Daria, </t>
  </si>
  <si>
    <t>LICENCE NO: 73070  EXPIRY: 08.02.2028</t>
  </si>
  <si>
    <t>E-mail: ksunilsurveyor@gmail.com</t>
  </si>
  <si>
    <t>SURVEY FEE BILL</t>
  </si>
  <si>
    <t xml:space="preserve">                                                                                                 </t>
  </si>
  <si>
    <t>VEHICLE/ITEM</t>
  </si>
  <si>
    <t>C NOTE/POLICY NO.</t>
  </si>
  <si>
    <t>PROFESSIONAL FEE</t>
  </si>
  <si>
    <t>Rs</t>
  </si>
  <si>
    <t>CONVEYANCE CHARGES</t>
  </si>
  <si>
    <t>PHOTOGRAPHS</t>
  </si>
  <si>
    <t>(12x10=120.00)</t>
  </si>
  <si>
    <t>(Digital Photographs)</t>
  </si>
  <si>
    <t>DAILY ALLOWANCE</t>
  </si>
  <si>
    <t>MISCELLANEOUS</t>
  </si>
  <si>
    <t>----------------------</t>
  </si>
  <si>
    <t>TOTAL</t>
  </si>
  <si>
    <t>INLYAS CODE:</t>
  </si>
  <si>
    <t>GH0000046246</t>
  </si>
  <si>
    <t xml:space="preserve">     FOR NEFT PAYMENT</t>
  </si>
  <si>
    <t>(SUNIL KUMAR)</t>
  </si>
  <si>
    <t xml:space="preserve">     BANK ACCOUNT DETAILS</t>
  </si>
  <si>
    <t xml:space="preserve">     BANK NAME:</t>
  </si>
  <si>
    <t>BANK OF INDIA</t>
  </si>
  <si>
    <t xml:space="preserve">     A/C NUMBER:</t>
  </si>
  <si>
    <t>620110110000751</t>
  </si>
  <si>
    <t xml:space="preserve">     A/C TYPE:</t>
  </si>
  <si>
    <t>SAVING</t>
  </si>
  <si>
    <t xml:space="preserve">     IFSC CODE:</t>
  </si>
  <si>
    <t>BKID0006201</t>
  </si>
  <si>
    <t xml:space="preserve">     MICRO CODE:</t>
  </si>
  <si>
    <t>160013003</t>
  </si>
  <si>
    <t>ITEM WISE BREAK UP DETAILS IN SETTLEMENT SHEET</t>
  </si>
  <si>
    <t>ITEM DESCRIPTION</t>
  </si>
  <si>
    <t>NET AMOUNT (AFTER DEP.)</t>
  </si>
  <si>
    <t>GST %</t>
  </si>
  <si>
    <t>GST AMOUNT</t>
  </si>
  <si>
    <t>Labour</t>
  </si>
  <si>
    <t>Parts Metallic</t>
  </si>
  <si>
    <t>Parts Non-Metallic</t>
  </si>
  <si>
    <t>Other</t>
  </si>
  <si>
    <t>Less: Excess Clause @18%</t>
  </si>
  <si>
    <t>Less: Salvage Amount @18%</t>
  </si>
  <si>
    <t>Total</t>
  </si>
  <si>
    <t>GST Excess</t>
  </si>
  <si>
    <t>GST Salvage</t>
  </si>
  <si>
    <t>G.TOTAL</t>
  </si>
  <si>
    <t>GST Amount Entered in Settlement Screen</t>
  </si>
  <si>
    <t>Settle Amount</t>
  </si>
  <si>
    <t>GST</t>
  </si>
  <si>
    <t>EST_72 Ptovision in INLIAS</t>
  </si>
  <si>
    <t>Rs.</t>
  </si>
  <si>
    <t>NET LIABILITY</t>
  </si>
  <si>
    <t>Part Discription</t>
  </si>
  <si>
    <t>251306546454</t>
  </si>
  <si>
    <t xml:space="preserve">IFSC code </t>
  </si>
  <si>
    <t>SBIN001000</t>
  </si>
  <si>
    <t xml:space="preserve">account number </t>
  </si>
  <si>
    <t>35010231260390000105</t>
  </si>
  <si>
    <t>Registered Owner Name</t>
  </si>
  <si>
    <t>PRITPAL SINGH</t>
  </si>
  <si>
    <t>Claim Number</t>
  </si>
  <si>
    <t>times ofs serveys</t>
  </si>
  <si>
    <t>26/05/2026</t>
  </si>
  <si>
    <t>31.05.2026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</si>
</sst>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d/yyyy;@"/>
  </numFmts>
  <fonts count="2" x14ac:knownFonts="1">
    <font>
      <sz val="12"/>
      <color theme="1"/>
      <name val="Calibri"/>
      <family val="2"/>
      <scheme val="minor"/>
    </font>
    <font>
      <sz val="11"/>
      <color theme="1"/>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
    <xf numFmtId="0" fontId="0" fillId="0" borderId="0" xfId="0" applyNumberFormat="1"/>
    <xf numFmtId="4" fontId="0" fillId="0" borderId="0" xfId="0" applyNumberFormat="1"/>
    <xf numFmtId="17" fontId="0" fillId="0" borderId="0" xfId="0" applyNumberFormat="1"/>
    <xf numFmtId="164" fontId="0" fillId="0" borderId="0" xfId="0" applyNumberFormat="1"/>
    <xf numFmtId="43" fontId="0" fillId="0" borderId="0" xfId="0" applyNumberFormat="1"/>
    <xf numFmtId="1" fontId="0" fillId="0" borderId="0" xfId="0" applyNumberFormat="1"/>
    <xf numFmtId="2" fontId="0" fillId="0" borderId="0" xfId="0" applyNumberFormat="1"/>
    <xf numFmtId="49" fontId="0" fillId="0" borderId="0" xfId="0" applyNumberFormat="1"/>
    <xf numFmtId="0" fontId="0" fillId="0" borderId="0" xfId="0"/>
    <xf numFmtId="0" fontId="1" fillId="0" borderId="1" xfId="0" applyFont="1" applyBorder="1" applyAlignment="1">
      <alignment vertical="center" wrapText="1" readingOrder="1"/>
    </xf>
    <xf numFmtId="20" fontId="0" fillId="0" borderId="0" xfId="0" applyNumberFormat="1"/>
    <xf numFmtId="14"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Y450"/>
  <sheetViews>
    <sheetView tabSelected="1" topLeftCell="A77" workbookViewId="0">
      <selection activeCell="C80" sqref="C80:K80"/>
    </sheetView>
  </sheetViews>
  <sheetFormatPr defaultColWidth="9.3984375" defaultRowHeight="15.6" x14ac:dyDescent="0.3"/>
  <cols>
    <col min="1" max="1" width="5" customWidth="1"/>
    <col min="2" max="2" width="6" customWidth="1"/>
    <col min="3" max="3" width="14.8984375" customWidth="1"/>
    <col min="4" max="4" width="26.3984375" customWidth="1"/>
    <col min="5" max="5" width="9.8984375" customWidth="1"/>
    <col min="6" max="9" width="11.8984375" customWidth="1"/>
    <col min="10" max="10" width="9.09765625" customWidth="1"/>
    <col min="11" max="11" width="14.8984375" customWidth="1"/>
    <col min="12" max="12" width="9.5" customWidth="1"/>
    <col min="13" max="13" width="19.3984375" customWidth="1"/>
    <col min="14" max="14" width="19" customWidth="1"/>
    <col min="15" max="15" width="11.3984375" customWidth="1"/>
    <col min="16" max="16" width="11.5" customWidth="1"/>
    <col min="17" max="17" width="11.09765625" customWidth="1"/>
    <col min="18" max="18" width="11.5" customWidth="1"/>
    <col min="19" max="19" width="11.3984375" customWidth="1"/>
    <col min="20" max="20" width="11.09765625" customWidth="1"/>
    <col min="21" max="21" width="9.3984375" customWidth="1"/>
  </cols>
  <sheetData>
    <row r="2" spans="2:25" ht="14.25" customHeight="1" x14ac:dyDescent="0.3">
      <c r="B2" t="s">
        <v>0</v>
      </c>
      <c r="I2" t="s">
        <v>1</v>
      </c>
    </row>
    <row r="3" spans="2:25" x14ac:dyDescent="0.3">
      <c r="B3" t="s">
        <v>2</v>
      </c>
      <c r="I3" t="s">
        <v>3</v>
      </c>
    </row>
    <row r="4" spans="2:25" x14ac:dyDescent="0.3">
      <c r="B4" t="s">
        <v>4</v>
      </c>
      <c r="I4" t="s">
        <v>5</v>
      </c>
    </row>
    <row r="5" spans="2:25" x14ac:dyDescent="0.3">
      <c r="B5" t="s">
        <v>6</v>
      </c>
      <c r="I5" t="s">
        <v>7</v>
      </c>
    </row>
    <row r="6" spans="2:25" ht="3" customHeight="1" x14ac:dyDescent="0.3"/>
    <row r="7" spans="2:25" ht="4.5" customHeight="1" x14ac:dyDescent="0.3"/>
    <row r="8" spans="2:25" x14ac:dyDescent="0.3">
      <c r="B8" t="s">
        <v>8</v>
      </c>
      <c r="C8" t="s">
        <v>9</v>
      </c>
      <c r="J8" t="s">
        <v>10</v>
      </c>
    </row>
    <row r="9" spans="2:25" ht="4.5" customHeight="1" x14ac:dyDescent="0.3"/>
    <row r="10" spans="2:25" x14ac:dyDescent="0.3">
      <c r="B10" t="s">
        <v>11</v>
      </c>
    </row>
    <row r="11" spans="2:25" ht="26.25" customHeight="1" x14ac:dyDescent="0.3">
      <c r="B11" s="12" t="s">
        <v>12</v>
      </c>
      <c r="C11" s="12"/>
      <c r="D11" s="12"/>
      <c r="E11" s="12"/>
      <c r="F11" s="12"/>
      <c r="G11" s="12"/>
      <c r="H11" s="12"/>
      <c r="I11" s="12"/>
      <c r="J11" s="12"/>
      <c r="K11" s="12"/>
    </row>
    <row r="12" spans="2:25" ht="12.75" customHeight="1" x14ac:dyDescent="0.3"/>
    <row r="13" spans="2:25" x14ac:dyDescent="0.3">
      <c r="B13">
        <v>1</v>
      </c>
      <c r="C13" t="s">
        <v>13</v>
      </c>
      <c r="F13" t="s">
        <v>14</v>
      </c>
      <c r="G13" t="s">
        <v>15</v>
      </c>
      <c r="J13" t="s">
        <v>16</v>
      </c>
      <c r="K13" s="1">
        <v>638000</v>
      </c>
    </row>
    <row r="14" spans="2:25" x14ac:dyDescent="0.3">
      <c r="C14" t="s">
        <v>17</v>
      </c>
      <c r="F14" t="s">
        <v>14</v>
      </c>
      <c r="G14" t="s">
        <v>18</v>
      </c>
      <c r="W14" t="s">
        <v>19</v>
      </c>
      <c r="X14" t="s">
        <v>20</v>
      </c>
      <c r="Y14" t="s">
        <v>21</v>
      </c>
    </row>
    <row r="15" spans="2:25" x14ac:dyDescent="0.3">
      <c r="W15">
        <v>64284</v>
      </c>
    </row>
    <row r="16" spans="2:25" x14ac:dyDescent="0.3">
      <c r="C16" t="s">
        <v>22</v>
      </c>
      <c r="F16" t="s">
        <v>14</v>
      </c>
      <c r="G16" t="s">
        <v>23</v>
      </c>
      <c r="I16" t="s">
        <v>24</v>
      </c>
      <c r="L16" t="s">
        <v>25</v>
      </c>
      <c r="N16">
        <v>231390</v>
      </c>
    </row>
    <row r="17" spans="2:10" ht="12.75" customHeight="1" x14ac:dyDescent="0.3"/>
    <row r="18" spans="2:10" x14ac:dyDescent="0.3">
      <c r="B18">
        <v>2</v>
      </c>
      <c r="C18" t="s">
        <v>26</v>
      </c>
      <c r="F18" t="s">
        <v>14</v>
      </c>
      <c r="G18" t="s">
        <v>27</v>
      </c>
    </row>
    <row r="19" spans="2:10" x14ac:dyDescent="0.3">
      <c r="C19" t="s">
        <v>28</v>
      </c>
      <c r="F19" t="s">
        <v>14</v>
      </c>
      <c r="G19" s="2" t="s">
        <v>29</v>
      </c>
    </row>
    <row r="20" spans="2:10" x14ac:dyDescent="0.3">
      <c r="C20" t="s">
        <v>30</v>
      </c>
      <c r="F20" t="s">
        <v>14</v>
      </c>
      <c r="G20" s="2" t="s">
        <v>31</v>
      </c>
    </row>
    <row r="21" spans="2:10" ht="12.75" customHeight="1" x14ac:dyDescent="0.3"/>
    <row r="22" spans="2:10" x14ac:dyDescent="0.3">
      <c r="B22">
        <v>3</v>
      </c>
      <c r="C22" t="s">
        <v>32</v>
      </c>
      <c r="F22" t="s">
        <v>14</v>
      </c>
      <c r="G22" t="s">
        <v>33</v>
      </c>
    </row>
    <row r="23" spans="2:10" ht="12.75" customHeight="1" x14ac:dyDescent="0.3"/>
    <row r="24" spans="2:10" x14ac:dyDescent="0.3">
      <c r="B24">
        <v>4</v>
      </c>
      <c r="C24" t="s">
        <v>34</v>
      </c>
      <c r="F24" t="s">
        <v>14</v>
      </c>
      <c r="G24" t="s">
        <v>35</v>
      </c>
    </row>
    <row r="25" spans="2:10" x14ac:dyDescent="0.3">
      <c r="C25" t="s">
        <v>36</v>
      </c>
      <c r="F25" t="s">
        <v>14</v>
      </c>
      <c r="G25" t="s">
        <v>37</v>
      </c>
    </row>
    <row r="26" spans="2:10" x14ac:dyDescent="0.3">
      <c r="C26" t="s">
        <v>38</v>
      </c>
      <c r="F26" t="s">
        <v>14</v>
      </c>
      <c r="G26" t="s">
        <v>39</v>
      </c>
    </row>
    <row r="27" spans="2:10" x14ac:dyDescent="0.3">
      <c r="C27" t="s">
        <v>40</v>
      </c>
      <c r="F27" t="s">
        <v>14</v>
      </c>
      <c r="G27" t="s">
        <v>41</v>
      </c>
    </row>
    <row r="28" spans="2:10" x14ac:dyDescent="0.3">
      <c r="C28" t="s">
        <v>42</v>
      </c>
      <c r="F28" t="s">
        <v>14</v>
      </c>
      <c r="G28" s="12" t="s">
        <v>43</v>
      </c>
      <c r="H28" s="12"/>
      <c r="I28" s="12" t="s">
        <v>44</v>
      </c>
      <c r="J28" s="12"/>
    </row>
    <row r="29" spans="2:10" x14ac:dyDescent="0.3">
      <c r="C29" t="s">
        <v>45</v>
      </c>
      <c r="F29" t="s">
        <v>14</v>
      </c>
      <c r="G29" s="12" t="s">
        <v>46</v>
      </c>
      <c r="H29" s="12"/>
      <c r="I29" s="12"/>
      <c r="J29" s="12"/>
    </row>
    <row r="30" spans="2:10" x14ac:dyDescent="0.3">
      <c r="C30" t="s">
        <v>47</v>
      </c>
      <c r="F30" t="s">
        <v>14</v>
      </c>
      <c r="G30" t="s">
        <v>48</v>
      </c>
    </row>
    <row r="31" spans="2:10" x14ac:dyDescent="0.3">
      <c r="C31" t="s">
        <v>49</v>
      </c>
      <c r="F31" t="s">
        <v>14</v>
      </c>
      <c r="G31" t="s">
        <v>50</v>
      </c>
    </row>
    <row r="32" spans="2:10" x14ac:dyDescent="0.3">
      <c r="C32" t="s">
        <v>51</v>
      </c>
      <c r="F32" t="s">
        <v>14</v>
      </c>
      <c r="G32" t="s">
        <v>52</v>
      </c>
    </row>
    <row r="33" spans="2:11" x14ac:dyDescent="0.3">
      <c r="C33" t="s">
        <v>53</v>
      </c>
      <c r="F33" t="s">
        <v>14</v>
      </c>
      <c r="G33" t="s">
        <v>54</v>
      </c>
    </row>
    <row r="34" spans="2:11" x14ac:dyDescent="0.3">
      <c r="C34" t="s">
        <v>55</v>
      </c>
      <c r="F34" t="s">
        <v>14</v>
      </c>
      <c r="G34" t="s">
        <v>56</v>
      </c>
    </row>
    <row r="35" spans="2:11" x14ac:dyDescent="0.3">
      <c r="C35" t="s">
        <v>57</v>
      </c>
      <c r="F35" t="s">
        <v>14</v>
      </c>
      <c r="G35" t="s">
        <v>58</v>
      </c>
    </row>
    <row r="36" spans="2:11" x14ac:dyDescent="0.3">
      <c r="C36" t="s">
        <v>59</v>
      </c>
      <c r="F36" t="s">
        <v>14</v>
      </c>
    </row>
    <row r="37" spans="2:11" x14ac:dyDescent="0.3">
      <c r="C37" t="s">
        <v>60</v>
      </c>
      <c r="F37" t="s">
        <v>14</v>
      </c>
      <c r="G37" t="s">
        <v>61</v>
      </c>
    </row>
    <row r="38" spans="2:11" x14ac:dyDescent="0.3">
      <c r="C38" t="s">
        <v>62</v>
      </c>
      <c r="F38" t="s">
        <v>14</v>
      </c>
      <c r="G38" t="s">
        <v>63</v>
      </c>
    </row>
    <row r="39" spans="2:11" x14ac:dyDescent="0.3">
      <c r="C39" t="s">
        <v>64</v>
      </c>
      <c r="F39" t="s">
        <v>14</v>
      </c>
      <c r="G39" t="s">
        <v>65</v>
      </c>
    </row>
    <row r="40" spans="2:11" x14ac:dyDescent="0.3">
      <c r="C40" t="s">
        <v>66</v>
      </c>
      <c r="F40" t="s">
        <v>14</v>
      </c>
      <c r="G40" t="s">
        <v>67</v>
      </c>
    </row>
    <row r="41" spans="2:11" x14ac:dyDescent="0.3">
      <c r="C41" t="s">
        <v>68</v>
      </c>
      <c r="F41" t="s">
        <v>14</v>
      </c>
      <c r="G41" t="s">
        <v>69</v>
      </c>
    </row>
    <row r="42" spans="2:11" x14ac:dyDescent="0.3">
      <c r="C42" t="s">
        <v>70</v>
      </c>
      <c r="F42" t="s">
        <v>14</v>
      </c>
      <c r="G42" t="s">
        <v>460</v>
      </c>
    </row>
    <row r="43" spans="2:11" x14ac:dyDescent="0.3">
      <c r="C43" t="s">
        <v>71</v>
      </c>
      <c r="F43" t="s">
        <v>14</v>
      </c>
      <c r="G43" t="s">
        <v>72</v>
      </c>
    </row>
    <row r="44" spans="2:11" x14ac:dyDescent="0.3">
      <c r="C44" t="s">
        <v>73</v>
      </c>
      <c r="F44" t="s">
        <v>14</v>
      </c>
      <c r="G44" t="s">
        <v>74</v>
      </c>
    </row>
    <row r="45" spans="2:11" x14ac:dyDescent="0.3">
      <c r="C45" t="s">
        <v>75</v>
      </c>
      <c r="F45" t="s">
        <v>14</v>
      </c>
      <c r="G45" t="s">
        <v>76</v>
      </c>
    </row>
    <row r="46" spans="2:11" ht="12.75" customHeight="1" x14ac:dyDescent="0.3"/>
    <row r="47" spans="2:11" x14ac:dyDescent="0.3">
      <c r="B47">
        <v>5</v>
      </c>
      <c r="C47" t="s">
        <v>77</v>
      </c>
      <c r="F47" t="s">
        <v>14</v>
      </c>
      <c r="G47" t="s">
        <v>78</v>
      </c>
    </row>
    <row r="48" spans="2:11" x14ac:dyDescent="0.3">
      <c r="C48" t="s">
        <v>79</v>
      </c>
      <c r="F48" t="s">
        <v>14</v>
      </c>
      <c r="G48" t="s">
        <v>76</v>
      </c>
      <c r="J48" t="s">
        <v>80</v>
      </c>
      <c r="K48" t="s">
        <v>81</v>
      </c>
    </row>
    <row r="49" spans="2:14" x14ac:dyDescent="0.3">
      <c r="C49" t="s">
        <v>82</v>
      </c>
      <c r="F49" t="s">
        <v>14</v>
      </c>
    </row>
    <row r="50" spans="2:14" x14ac:dyDescent="0.3">
      <c r="C50" t="s">
        <v>83</v>
      </c>
      <c r="F50" t="s">
        <v>14</v>
      </c>
      <c r="G50" t="s">
        <v>84</v>
      </c>
    </row>
    <row r="51" spans="2:14" x14ac:dyDescent="0.3">
      <c r="C51" t="s">
        <v>85</v>
      </c>
      <c r="F51" t="s">
        <v>14</v>
      </c>
      <c r="G51" t="s">
        <v>86</v>
      </c>
    </row>
    <row r="52" spans="2:14" x14ac:dyDescent="0.3">
      <c r="C52" t="s">
        <v>87</v>
      </c>
      <c r="F52" t="s">
        <v>14</v>
      </c>
      <c r="G52" s="2" t="s">
        <v>88</v>
      </c>
    </row>
    <row r="53" spans="2:14" x14ac:dyDescent="0.3">
      <c r="C53" t="s">
        <v>89</v>
      </c>
      <c r="F53" t="s">
        <v>14</v>
      </c>
      <c r="G53" t="s">
        <v>90</v>
      </c>
    </row>
    <row r="54" spans="2:14" x14ac:dyDescent="0.3">
      <c r="C54" t="s">
        <v>91</v>
      </c>
      <c r="F54" t="s">
        <v>14</v>
      </c>
      <c r="G54" t="s">
        <v>92</v>
      </c>
    </row>
    <row r="55" spans="2:14" ht="12.75" customHeight="1" x14ac:dyDescent="0.3"/>
    <row r="56" spans="2:14" x14ac:dyDescent="0.3">
      <c r="B56">
        <v>6</v>
      </c>
      <c r="C56" t="s">
        <v>93</v>
      </c>
    </row>
    <row r="57" spans="2:14" x14ac:dyDescent="0.3">
      <c r="C57" t="s">
        <v>94</v>
      </c>
      <c r="F57" t="s">
        <v>14</v>
      </c>
      <c r="G57" s="3" t="s">
        <v>95</v>
      </c>
      <c r="N57" t="s">
        <v>96</v>
      </c>
    </row>
    <row r="58" spans="2:14" x14ac:dyDescent="0.3">
      <c r="C58" t="s">
        <v>97</v>
      </c>
      <c r="F58" t="s">
        <v>14</v>
      </c>
      <c r="G58" t="s">
        <v>98</v>
      </c>
    </row>
    <row r="59" spans="2:14" ht="12.75" customHeight="1" x14ac:dyDescent="0.3"/>
    <row r="60" spans="2:14" x14ac:dyDescent="0.3">
      <c r="B60">
        <v>7</v>
      </c>
      <c r="C60" t="s">
        <v>99</v>
      </c>
    </row>
    <row r="61" spans="2:14" x14ac:dyDescent="0.3">
      <c r="C61" t="s">
        <v>100</v>
      </c>
      <c r="F61" t="s">
        <v>14</v>
      </c>
      <c r="G61" t="s">
        <v>101</v>
      </c>
    </row>
    <row r="62" spans="2:14" x14ac:dyDescent="0.3">
      <c r="C62" t="s">
        <v>102</v>
      </c>
      <c r="F62" t="s">
        <v>14</v>
      </c>
      <c r="G62" s="11" t="s">
        <v>459</v>
      </c>
      <c r="H62" t="s">
        <v>103</v>
      </c>
      <c r="I62" t="s">
        <v>458</v>
      </c>
      <c r="J62" s="10">
        <v>0.4375</v>
      </c>
    </row>
    <row r="63" spans="2:14" x14ac:dyDescent="0.3">
      <c r="C63" t="s">
        <v>104</v>
      </c>
      <c r="F63" t="s">
        <v>14</v>
      </c>
      <c r="G63" t="s">
        <v>105</v>
      </c>
    </row>
    <row r="64" spans="2:14" x14ac:dyDescent="0.3">
      <c r="C64" t="s">
        <v>106</v>
      </c>
      <c r="F64" t="s">
        <v>14</v>
      </c>
      <c r="G64" t="s">
        <v>107</v>
      </c>
    </row>
    <row r="66" spans="2:11" x14ac:dyDescent="0.3">
      <c r="B66">
        <v>8</v>
      </c>
      <c r="C66" t="s">
        <v>108</v>
      </c>
      <c r="G66" t="s">
        <v>109</v>
      </c>
    </row>
    <row r="67" spans="2:11" x14ac:dyDescent="0.3">
      <c r="C67" t="s">
        <v>110</v>
      </c>
      <c r="F67" t="s">
        <v>14</v>
      </c>
      <c r="G67" t="s">
        <v>109</v>
      </c>
    </row>
    <row r="68" spans="2:11" x14ac:dyDescent="0.3">
      <c r="C68" t="s">
        <v>82</v>
      </c>
      <c r="F68" t="s">
        <v>14</v>
      </c>
    </row>
    <row r="69" spans="2:11" x14ac:dyDescent="0.3">
      <c r="C69" t="s">
        <v>111</v>
      </c>
      <c r="F69" t="s">
        <v>14</v>
      </c>
    </row>
    <row r="71" spans="2:11" x14ac:dyDescent="0.3">
      <c r="B71">
        <v>9</v>
      </c>
      <c r="C71" t="s">
        <v>112</v>
      </c>
      <c r="F71" t="s">
        <v>14</v>
      </c>
      <c r="G71" t="s">
        <v>113</v>
      </c>
    </row>
    <row r="73" spans="2:11" x14ac:dyDescent="0.3">
      <c r="B73">
        <v>10</v>
      </c>
      <c r="C73" t="s">
        <v>114</v>
      </c>
      <c r="F73" t="s">
        <v>14</v>
      </c>
      <c r="G73" t="s">
        <v>115</v>
      </c>
    </row>
    <row r="75" spans="2:11" x14ac:dyDescent="0.3">
      <c r="B75">
        <v>11</v>
      </c>
      <c r="C75" t="s">
        <v>116</v>
      </c>
    </row>
    <row r="76" spans="2:11" x14ac:dyDescent="0.3">
      <c r="C76" t="s">
        <v>117</v>
      </c>
    </row>
    <row r="77" spans="2:11" ht="28.5" customHeight="1" x14ac:dyDescent="0.3">
      <c r="C77" s="12"/>
      <c r="D77" s="12"/>
      <c r="E77" s="12"/>
      <c r="F77" s="12"/>
      <c r="G77" s="12"/>
      <c r="H77" s="12"/>
      <c r="I77" s="12"/>
      <c r="J77" s="12"/>
      <c r="K77" s="12"/>
    </row>
    <row r="79" spans="2:11" ht="15" customHeight="1" x14ac:dyDescent="0.3">
      <c r="B79">
        <v>12</v>
      </c>
      <c r="C79" t="s">
        <v>118</v>
      </c>
    </row>
    <row r="80" spans="2:11" ht="55.5" customHeight="1" x14ac:dyDescent="0.3">
      <c r="C80" s="12" t="s">
        <v>119</v>
      </c>
      <c r="D80" s="12"/>
      <c r="E80" s="12"/>
      <c r="F80" s="12"/>
      <c r="G80" s="12"/>
      <c r="H80" s="12"/>
      <c r="I80" s="12"/>
      <c r="J80" s="12"/>
      <c r="K80" s="12"/>
    </row>
    <row r="82" spans="2:11" x14ac:dyDescent="0.3">
      <c r="B82">
        <v>13</v>
      </c>
      <c r="C82" t="s">
        <v>120</v>
      </c>
    </row>
    <row r="85" spans="2:11" ht="12.75" customHeight="1" x14ac:dyDescent="0.3">
      <c r="B85">
        <v>14</v>
      </c>
      <c r="C85" t="s">
        <v>121</v>
      </c>
    </row>
    <row r="86" spans="2:11" ht="12.75" customHeight="1" x14ac:dyDescent="0.3">
      <c r="B86">
        <v>1</v>
      </c>
      <c r="C86" t="s">
        <v>122</v>
      </c>
    </row>
    <row r="87" spans="2:11" ht="12.75" customHeight="1" x14ac:dyDescent="0.3">
      <c r="B87">
        <v>2</v>
      </c>
      <c r="C87" t="s">
        <v>123</v>
      </c>
    </row>
    <row r="88" spans="2:11" ht="12.75" customHeight="1" x14ac:dyDescent="0.3">
      <c r="B88">
        <v>3</v>
      </c>
      <c r="C88" t="s">
        <v>124</v>
      </c>
    </row>
    <row r="89" spans="2:11" ht="12.75" customHeight="1" x14ac:dyDescent="0.3">
      <c r="B89">
        <v>4</v>
      </c>
      <c r="C89" t="s">
        <v>125</v>
      </c>
    </row>
    <row r="90" spans="2:11" ht="12.75" customHeight="1" x14ac:dyDescent="0.3">
      <c r="B90">
        <v>5</v>
      </c>
      <c r="C90" t="s">
        <v>126</v>
      </c>
    </row>
    <row r="91" spans="2:11" ht="29.25" customHeight="1" x14ac:dyDescent="0.3">
      <c r="B91">
        <v>6</v>
      </c>
      <c r="C91" s="12" t="s">
        <v>127</v>
      </c>
      <c r="D91" s="12"/>
      <c r="E91" s="12"/>
      <c r="F91" s="12"/>
      <c r="G91" s="12"/>
      <c r="H91" s="12"/>
      <c r="I91" s="12"/>
      <c r="J91" s="12"/>
      <c r="K91" s="12"/>
    </row>
    <row r="93" spans="2:11" x14ac:dyDescent="0.3">
      <c r="B93">
        <v>15</v>
      </c>
      <c r="C93" t="s">
        <v>128</v>
      </c>
    </row>
    <row r="95" spans="2:11" x14ac:dyDescent="0.3">
      <c r="B95" t="s">
        <v>129</v>
      </c>
      <c r="F95">
        <v>1248</v>
      </c>
      <c r="G95" t="s">
        <v>130</v>
      </c>
      <c r="J95">
        <v>1000</v>
      </c>
    </row>
    <row r="96" spans="2:11" x14ac:dyDescent="0.3">
      <c r="B96" t="s">
        <v>131</v>
      </c>
      <c r="F96" s="4">
        <f>E250</f>
        <v>0</v>
      </c>
      <c r="G96" t="s">
        <v>132</v>
      </c>
      <c r="J96">
        <f>IF(F96&lt;0.5,0,IF(F96&lt;1,5,IF(F96&lt;2,10,IF(F96&lt;3,15,IF(F96&lt;4,25,IF(F96&lt;5,35,IF(F96&lt;10,40,50)))))))</f>
        <v>0</v>
      </c>
    </row>
    <row r="97" spans="2:11" x14ac:dyDescent="0.3">
      <c r="B97" t="s">
        <v>133</v>
      </c>
      <c r="F97" s="5">
        <v>18</v>
      </c>
      <c r="G97" t="s">
        <v>134</v>
      </c>
      <c r="J97" s="5">
        <v>18</v>
      </c>
    </row>
    <row r="100" spans="2:11" x14ac:dyDescent="0.3">
      <c r="B100" t="s">
        <v>135</v>
      </c>
      <c r="C100" t="s">
        <v>449</v>
      </c>
      <c r="F100" t="s">
        <v>136</v>
      </c>
      <c r="G100" t="s">
        <v>137</v>
      </c>
      <c r="H100" t="s">
        <v>138</v>
      </c>
      <c r="I100" t="s">
        <v>139</v>
      </c>
    </row>
    <row r="101" spans="2:11" x14ac:dyDescent="0.3">
      <c r="B101">
        <v>1</v>
      </c>
      <c r="C101" t="s">
        <v>140</v>
      </c>
      <c r="F101" s="6">
        <v>45</v>
      </c>
    </row>
    <row r="102" spans="2:11" x14ac:dyDescent="0.3">
      <c r="B102">
        <v>2</v>
      </c>
      <c r="C102" t="s">
        <v>141</v>
      </c>
      <c r="F102" s="6">
        <v>35</v>
      </c>
    </row>
    <row r="103" spans="2:11" x14ac:dyDescent="0.3">
      <c r="B103">
        <v>3</v>
      </c>
      <c r="C103" t="s">
        <v>142</v>
      </c>
      <c r="F103" s="6">
        <v>27.6</v>
      </c>
    </row>
    <row r="104" spans="2:11" x14ac:dyDescent="0.3">
      <c r="B104">
        <v>4</v>
      </c>
      <c r="C104" t="s">
        <v>142</v>
      </c>
      <c r="F104" s="6">
        <v>45</v>
      </c>
    </row>
    <row r="105" spans="2:11" x14ac:dyDescent="0.3">
      <c r="B105">
        <v>5</v>
      </c>
      <c r="C105" t="s">
        <v>143</v>
      </c>
      <c r="F105" s="6">
        <v>60</v>
      </c>
      <c r="G105" s="6">
        <v>45.72</v>
      </c>
      <c r="K105">
        <v>1</v>
      </c>
    </row>
    <row r="106" spans="2:11" x14ac:dyDescent="0.3">
      <c r="B106">
        <v>6</v>
      </c>
      <c r="C106" t="s">
        <v>144</v>
      </c>
      <c r="F106" s="6">
        <v>1320</v>
      </c>
    </row>
    <row r="107" spans="2:11" x14ac:dyDescent="0.3">
      <c r="B107">
        <v>7</v>
      </c>
      <c r="C107" t="s">
        <v>145</v>
      </c>
      <c r="F107" s="6">
        <v>60</v>
      </c>
    </row>
    <row r="108" spans="2:11" x14ac:dyDescent="0.3">
      <c r="B108">
        <v>8</v>
      </c>
      <c r="C108" t="s">
        <v>143</v>
      </c>
      <c r="F108" s="6">
        <v>100</v>
      </c>
      <c r="G108" s="6">
        <v>11.86</v>
      </c>
      <c r="K108">
        <v>2</v>
      </c>
    </row>
    <row r="109" spans="2:11" x14ac:dyDescent="0.3">
      <c r="B109">
        <v>9</v>
      </c>
      <c r="C109" t="s">
        <v>146</v>
      </c>
      <c r="F109" s="6">
        <v>3.5</v>
      </c>
    </row>
    <row r="110" spans="2:11" x14ac:dyDescent="0.3">
      <c r="B110">
        <v>10</v>
      </c>
      <c r="C110" t="s">
        <v>147</v>
      </c>
      <c r="F110" s="6">
        <v>31.5</v>
      </c>
    </row>
    <row r="111" spans="2:11" x14ac:dyDescent="0.3">
      <c r="B111">
        <v>11</v>
      </c>
      <c r="C111" t="s">
        <v>148</v>
      </c>
      <c r="F111" s="6">
        <v>8</v>
      </c>
    </row>
    <row r="112" spans="2:11" x14ac:dyDescent="0.3">
      <c r="B112">
        <v>12</v>
      </c>
      <c r="C112" t="s">
        <v>149</v>
      </c>
      <c r="F112" s="6">
        <v>18</v>
      </c>
      <c r="H112" s="6">
        <v>18</v>
      </c>
      <c r="J112">
        <v>36.659999999999997</v>
      </c>
      <c r="K112">
        <v>76</v>
      </c>
    </row>
    <row r="113" spans="2:11" x14ac:dyDescent="0.3">
      <c r="B113">
        <v>13</v>
      </c>
      <c r="C113" t="s">
        <v>150</v>
      </c>
      <c r="F113" s="6">
        <v>60</v>
      </c>
    </row>
    <row r="114" spans="2:11" x14ac:dyDescent="0.3">
      <c r="B114">
        <v>14</v>
      </c>
      <c r="C114" t="s">
        <v>151</v>
      </c>
      <c r="F114" s="6">
        <v>120</v>
      </c>
      <c r="H114" s="6">
        <v>120</v>
      </c>
      <c r="J114">
        <v>83.1</v>
      </c>
      <c r="K114">
        <v>6</v>
      </c>
    </row>
    <row r="115" spans="2:11" x14ac:dyDescent="0.3">
      <c r="B115">
        <v>15</v>
      </c>
      <c r="C115" t="s">
        <v>152</v>
      </c>
      <c r="F115" s="6">
        <v>86</v>
      </c>
      <c r="H115" s="6">
        <v>72.88</v>
      </c>
      <c r="K115">
        <v>7</v>
      </c>
    </row>
    <row r="116" spans="2:11" x14ac:dyDescent="0.3">
      <c r="B116">
        <v>16</v>
      </c>
      <c r="C116" t="s">
        <v>153</v>
      </c>
      <c r="F116" s="6">
        <v>770</v>
      </c>
      <c r="H116" s="6">
        <v>326.27</v>
      </c>
      <c r="K116">
        <v>8</v>
      </c>
    </row>
    <row r="117" spans="2:11" x14ac:dyDescent="0.3">
      <c r="B117">
        <v>17</v>
      </c>
      <c r="C117" t="s">
        <v>154</v>
      </c>
      <c r="F117" s="6">
        <v>300</v>
      </c>
    </row>
    <row r="118" spans="2:11" x14ac:dyDescent="0.3">
      <c r="B118">
        <v>18</v>
      </c>
      <c r="C118" t="s">
        <v>155</v>
      </c>
      <c r="F118" s="6">
        <v>92533</v>
      </c>
    </row>
    <row r="119" spans="2:11" x14ac:dyDescent="0.3">
      <c r="B119">
        <v>19</v>
      </c>
      <c r="C119" t="s">
        <v>156</v>
      </c>
      <c r="F119" s="6">
        <v>603.5</v>
      </c>
    </row>
    <row r="120" spans="2:11" x14ac:dyDescent="0.3">
      <c r="B120">
        <v>20</v>
      </c>
      <c r="C120" t="s">
        <v>157</v>
      </c>
      <c r="F120" s="6">
        <v>1862</v>
      </c>
      <c r="G120" s="6">
        <v>1577.96</v>
      </c>
      <c r="K120">
        <v>10</v>
      </c>
    </row>
    <row r="121" spans="2:11" x14ac:dyDescent="0.3">
      <c r="B121">
        <v>21</v>
      </c>
      <c r="C121" t="s">
        <v>158</v>
      </c>
      <c r="F121" s="6">
        <v>198</v>
      </c>
    </row>
    <row r="122" spans="2:11" x14ac:dyDescent="0.3">
      <c r="B122">
        <v>22</v>
      </c>
      <c r="C122" t="s">
        <v>159</v>
      </c>
      <c r="F122" s="6">
        <v>34</v>
      </c>
    </row>
    <row r="123" spans="2:11" x14ac:dyDescent="0.3">
      <c r="B123">
        <v>23</v>
      </c>
      <c r="C123" t="s">
        <v>160</v>
      </c>
      <c r="F123" s="6">
        <v>43</v>
      </c>
      <c r="G123" s="6">
        <v>36.44</v>
      </c>
      <c r="K123">
        <v>11</v>
      </c>
    </row>
    <row r="124" spans="2:11" x14ac:dyDescent="0.3">
      <c r="B124">
        <v>24</v>
      </c>
      <c r="C124" t="s">
        <v>161</v>
      </c>
      <c r="F124" s="6">
        <v>2055.5</v>
      </c>
      <c r="G124" s="6">
        <v>1741.94</v>
      </c>
      <c r="K124">
        <v>12</v>
      </c>
    </row>
    <row r="125" spans="2:11" x14ac:dyDescent="0.3">
      <c r="B125">
        <v>25</v>
      </c>
      <c r="C125" t="s">
        <v>162</v>
      </c>
      <c r="F125" s="6">
        <v>889.5</v>
      </c>
    </row>
    <row r="126" spans="2:11" x14ac:dyDescent="0.3">
      <c r="B126">
        <v>26</v>
      </c>
      <c r="C126" t="s">
        <v>163</v>
      </c>
      <c r="F126" s="6">
        <v>654.5</v>
      </c>
    </row>
    <row r="127" spans="2:11" x14ac:dyDescent="0.3">
      <c r="B127">
        <v>27</v>
      </c>
      <c r="C127" t="s">
        <v>164</v>
      </c>
      <c r="F127" s="6">
        <v>4291</v>
      </c>
    </row>
    <row r="128" spans="2:11" x14ac:dyDescent="0.3">
      <c r="B128">
        <v>28</v>
      </c>
      <c r="C128" t="s">
        <v>165</v>
      </c>
      <c r="F128" s="6">
        <v>222</v>
      </c>
    </row>
    <row r="129" spans="2:11" x14ac:dyDescent="0.3">
      <c r="B129">
        <v>29</v>
      </c>
      <c r="C129" t="s">
        <v>166</v>
      </c>
      <c r="F129" s="6">
        <v>765</v>
      </c>
    </row>
    <row r="130" spans="2:11" x14ac:dyDescent="0.3">
      <c r="B130">
        <v>30</v>
      </c>
      <c r="C130" t="s">
        <v>167</v>
      </c>
      <c r="F130" s="6">
        <v>387</v>
      </c>
    </row>
    <row r="131" spans="2:11" x14ac:dyDescent="0.3">
      <c r="B131">
        <v>31</v>
      </c>
      <c r="C131" t="s">
        <v>168</v>
      </c>
      <c r="F131" s="6">
        <v>28.5</v>
      </c>
    </row>
    <row r="132" spans="2:11" x14ac:dyDescent="0.3">
      <c r="B132">
        <v>32</v>
      </c>
      <c r="C132" t="s">
        <v>169</v>
      </c>
      <c r="F132" s="6">
        <v>677.5</v>
      </c>
    </row>
    <row r="133" spans="2:11" x14ac:dyDescent="0.3">
      <c r="B133">
        <v>33</v>
      </c>
      <c r="C133" t="s">
        <v>170</v>
      </c>
      <c r="F133" s="6">
        <v>11.5</v>
      </c>
    </row>
    <row r="134" spans="2:11" x14ac:dyDescent="0.3">
      <c r="B134">
        <v>34</v>
      </c>
      <c r="C134" t="s">
        <v>171</v>
      </c>
      <c r="F134" s="6">
        <v>875.5</v>
      </c>
    </row>
    <row r="135" spans="2:11" x14ac:dyDescent="0.3">
      <c r="B135">
        <v>35</v>
      </c>
      <c r="C135" t="s">
        <v>172</v>
      </c>
      <c r="F135" s="6">
        <v>470</v>
      </c>
    </row>
    <row r="136" spans="2:11" x14ac:dyDescent="0.3">
      <c r="B136">
        <v>36</v>
      </c>
      <c r="C136" t="s">
        <v>173</v>
      </c>
      <c r="F136" s="6">
        <v>283</v>
      </c>
    </row>
    <row r="137" spans="2:11" x14ac:dyDescent="0.3">
      <c r="B137">
        <v>37</v>
      </c>
      <c r="C137" t="s">
        <v>174</v>
      </c>
      <c r="F137" s="6">
        <v>645</v>
      </c>
    </row>
    <row r="138" spans="2:11" x14ac:dyDescent="0.3">
      <c r="B138">
        <v>38</v>
      </c>
      <c r="C138" t="s">
        <v>175</v>
      </c>
      <c r="F138" s="6">
        <v>105</v>
      </c>
      <c r="H138" s="6">
        <v>85.59</v>
      </c>
      <c r="K138">
        <v>13</v>
      </c>
    </row>
    <row r="139" spans="2:11" x14ac:dyDescent="0.3">
      <c r="B139">
        <v>39</v>
      </c>
      <c r="C139" t="s">
        <v>175</v>
      </c>
      <c r="F139" s="6">
        <v>101</v>
      </c>
    </row>
    <row r="140" spans="2:11" x14ac:dyDescent="0.3">
      <c r="B140">
        <v>40</v>
      </c>
      <c r="C140" t="s">
        <v>176</v>
      </c>
      <c r="F140" s="6">
        <v>360</v>
      </c>
    </row>
    <row r="141" spans="2:11" x14ac:dyDescent="0.3">
      <c r="B141">
        <v>41</v>
      </c>
      <c r="C141" t="s">
        <v>177</v>
      </c>
      <c r="F141" s="6">
        <v>150</v>
      </c>
      <c r="H141" s="6">
        <v>127.11</v>
      </c>
      <c r="K141">
        <v>14</v>
      </c>
    </row>
    <row r="142" spans="2:11" x14ac:dyDescent="0.3">
      <c r="B142">
        <v>42</v>
      </c>
      <c r="C142" t="s">
        <v>178</v>
      </c>
      <c r="F142" s="6">
        <v>99</v>
      </c>
      <c r="H142" s="6">
        <v>83.89</v>
      </c>
      <c r="K142">
        <v>15</v>
      </c>
    </row>
    <row r="143" spans="2:11" x14ac:dyDescent="0.3">
      <c r="B143">
        <v>43</v>
      </c>
      <c r="C143" t="s">
        <v>179</v>
      </c>
      <c r="F143" s="6">
        <v>101</v>
      </c>
      <c r="G143" s="6">
        <v>85.59</v>
      </c>
      <c r="K143">
        <v>16</v>
      </c>
    </row>
    <row r="144" spans="2:11" x14ac:dyDescent="0.3">
      <c r="B144">
        <v>44</v>
      </c>
      <c r="C144" t="s">
        <v>180</v>
      </c>
      <c r="F144" s="6">
        <v>6176.5</v>
      </c>
      <c r="H144" s="6">
        <v>5234.32</v>
      </c>
      <c r="K144">
        <v>17</v>
      </c>
    </row>
    <row r="145" spans="2:11" x14ac:dyDescent="0.3">
      <c r="B145">
        <v>45</v>
      </c>
      <c r="C145" t="s">
        <v>181</v>
      </c>
      <c r="F145">
        <v>195</v>
      </c>
      <c r="H145">
        <v>165.25</v>
      </c>
      <c r="K145">
        <v>18</v>
      </c>
    </row>
    <row r="146" spans="2:11" x14ac:dyDescent="0.3">
      <c r="B146">
        <v>46</v>
      </c>
      <c r="C146" t="s">
        <v>182</v>
      </c>
      <c r="F146">
        <v>129</v>
      </c>
    </row>
    <row r="147" spans="2:11" ht="12" customHeight="1" x14ac:dyDescent="0.3">
      <c r="B147">
        <v>47</v>
      </c>
      <c r="C147" t="s">
        <v>183</v>
      </c>
      <c r="F147">
        <v>5345.5</v>
      </c>
      <c r="G147">
        <v>4530.08</v>
      </c>
      <c r="K147">
        <v>19</v>
      </c>
    </row>
    <row r="148" spans="2:11" ht="12" customHeight="1" x14ac:dyDescent="0.3">
      <c r="B148">
        <v>48</v>
      </c>
      <c r="C148" t="s">
        <v>184</v>
      </c>
      <c r="F148">
        <v>120</v>
      </c>
    </row>
    <row r="149" spans="2:11" x14ac:dyDescent="0.3">
      <c r="B149">
        <v>49</v>
      </c>
      <c r="C149" t="s">
        <v>185</v>
      </c>
      <c r="F149">
        <v>150</v>
      </c>
    </row>
    <row r="150" spans="2:11" ht="13.5" customHeight="1" x14ac:dyDescent="0.3">
      <c r="B150">
        <v>50</v>
      </c>
      <c r="C150" t="s">
        <v>186</v>
      </c>
      <c r="F150">
        <v>94</v>
      </c>
    </row>
    <row r="151" spans="2:11" ht="13.5" customHeight="1" x14ac:dyDescent="0.3">
      <c r="B151">
        <v>51</v>
      </c>
      <c r="C151" t="s">
        <v>187</v>
      </c>
      <c r="F151">
        <v>90</v>
      </c>
    </row>
    <row r="152" spans="2:11" x14ac:dyDescent="0.3">
      <c r="B152">
        <v>52</v>
      </c>
      <c r="C152" t="s">
        <v>188</v>
      </c>
      <c r="F152">
        <v>120</v>
      </c>
    </row>
    <row r="153" spans="2:11" x14ac:dyDescent="0.3">
      <c r="B153">
        <v>53</v>
      </c>
      <c r="C153" t="s">
        <v>189</v>
      </c>
      <c r="F153">
        <v>56</v>
      </c>
    </row>
    <row r="154" spans="2:11" ht="12.75" customHeight="1" x14ac:dyDescent="0.3">
      <c r="B154">
        <v>54</v>
      </c>
      <c r="C154" t="s">
        <v>190</v>
      </c>
      <c r="F154">
        <v>30</v>
      </c>
    </row>
    <row r="155" spans="2:11" ht="12.75" customHeight="1" x14ac:dyDescent="0.3">
      <c r="B155">
        <v>55</v>
      </c>
      <c r="C155" t="s">
        <v>191</v>
      </c>
      <c r="F155">
        <v>239.5</v>
      </c>
    </row>
    <row r="156" spans="2:11" ht="12.75" customHeight="1" x14ac:dyDescent="0.3">
      <c r="B156">
        <v>56</v>
      </c>
      <c r="C156" t="s">
        <v>192</v>
      </c>
      <c r="F156">
        <v>15.5</v>
      </c>
    </row>
    <row r="157" spans="2:11" ht="12.75" customHeight="1" x14ac:dyDescent="0.3">
      <c r="B157">
        <v>57</v>
      </c>
      <c r="C157" t="s">
        <v>193</v>
      </c>
      <c r="F157">
        <v>41</v>
      </c>
    </row>
    <row r="158" spans="2:11" ht="12.75" customHeight="1" x14ac:dyDescent="0.3">
      <c r="B158">
        <v>58</v>
      </c>
      <c r="C158" t="s">
        <v>194</v>
      </c>
      <c r="F158">
        <v>65</v>
      </c>
      <c r="H158">
        <v>55.08</v>
      </c>
      <c r="K158">
        <v>20</v>
      </c>
    </row>
    <row r="159" spans="2:11" ht="12.75" customHeight="1" x14ac:dyDescent="0.3">
      <c r="B159">
        <v>59</v>
      </c>
      <c r="C159" t="s">
        <v>195</v>
      </c>
      <c r="F159">
        <v>59.5</v>
      </c>
    </row>
    <row r="160" spans="2:11" ht="12.75" customHeight="1" x14ac:dyDescent="0.3">
      <c r="B160">
        <v>60</v>
      </c>
      <c r="C160" t="s">
        <v>196</v>
      </c>
      <c r="F160">
        <v>96</v>
      </c>
    </row>
    <row r="161" spans="2:11" ht="12.75" customHeight="1" x14ac:dyDescent="0.3">
      <c r="B161">
        <v>61</v>
      </c>
      <c r="C161" t="s">
        <v>197</v>
      </c>
      <c r="F161">
        <v>7100</v>
      </c>
      <c r="H161">
        <v>6016.94</v>
      </c>
      <c r="K161">
        <v>21</v>
      </c>
    </row>
    <row r="162" spans="2:11" ht="12.75" customHeight="1" x14ac:dyDescent="0.3">
      <c r="B162">
        <v>62</v>
      </c>
      <c r="C162" t="s">
        <v>198</v>
      </c>
      <c r="F162">
        <v>730</v>
      </c>
    </row>
    <row r="163" spans="2:11" ht="12.75" customHeight="1" x14ac:dyDescent="0.3">
      <c r="B163">
        <v>63</v>
      </c>
      <c r="C163" t="s">
        <v>199</v>
      </c>
      <c r="F163">
        <v>84</v>
      </c>
    </row>
    <row r="164" spans="2:11" ht="12.75" customHeight="1" x14ac:dyDescent="0.3">
      <c r="B164">
        <v>64</v>
      </c>
      <c r="C164" t="s">
        <v>200</v>
      </c>
      <c r="F164">
        <v>7200</v>
      </c>
      <c r="H164">
        <v>6101.69</v>
      </c>
      <c r="K164">
        <v>22</v>
      </c>
    </row>
    <row r="165" spans="2:11" ht="12.75" customHeight="1" x14ac:dyDescent="0.3">
      <c r="B165">
        <v>65</v>
      </c>
      <c r="C165" t="s">
        <v>201</v>
      </c>
      <c r="F165">
        <v>980</v>
      </c>
      <c r="H165">
        <v>762.71</v>
      </c>
      <c r="K165">
        <v>23</v>
      </c>
    </row>
    <row r="166" spans="2:11" ht="12.75" customHeight="1" x14ac:dyDescent="0.3">
      <c r="B166">
        <v>66</v>
      </c>
      <c r="C166" t="s">
        <v>202</v>
      </c>
      <c r="F166">
        <v>745</v>
      </c>
      <c r="H166">
        <v>631.35</v>
      </c>
      <c r="K166">
        <v>24</v>
      </c>
    </row>
    <row r="167" spans="2:11" ht="12.75" customHeight="1" x14ac:dyDescent="0.3">
      <c r="B167">
        <v>67</v>
      </c>
      <c r="C167" t="s">
        <v>203</v>
      </c>
      <c r="F167">
        <v>364</v>
      </c>
    </row>
    <row r="168" spans="2:11" ht="12.75" customHeight="1" x14ac:dyDescent="0.3">
      <c r="B168">
        <v>68</v>
      </c>
      <c r="C168" t="s">
        <v>204</v>
      </c>
      <c r="F168">
        <v>313</v>
      </c>
      <c r="H168">
        <v>265.25</v>
      </c>
      <c r="K168">
        <v>25</v>
      </c>
    </row>
    <row r="169" spans="2:11" ht="12.75" customHeight="1" x14ac:dyDescent="0.3">
      <c r="B169">
        <v>69</v>
      </c>
      <c r="C169" t="s">
        <v>205</v>
      </c>
      <c r="F169">
        <v>239.5</v>
      </c>
    </row>
    <row r="170" spans="2:11" ht="12.75" customHeight="1" x14ac:dyDescent="0.3">
      <c r="B170">
        <v>70</v>
      </c>
      <c r="C170" t="s">
        <v>206</v>
      </c>
      <c r="F170">
        <v>9</v>
      </c>
      <c r="H170">
        <v>7.62</v>
      </c>
      <c r="K170">
        <v>26</v>
      </c>
    </row>
    <row r="171" spans="2:11" ht="12.75" customHeight="1" x14ac:dyDescent="0.3">
      <c r="B171">
        <v>71</v>
      </c>
      <c r="C171" t="s">
        <v>207</v>
      </c>
      <c r="F171">
        <v>300</v>
      </c>
      <c r="H171">
        <v>254.23</v>
      </c>
      <c r="K171">
        <v>28</v>
      </c>
    </row>
    <row r="172" spans="2:11" ht="12.75" customHeight="1" x14ac:dyDescent="0.3">
      <c r="B172">
        <v>72</v>
      </c>
      <c r="C172" t="s">
        <v>208</v>
      </c>
      <c r="F172">
        <v>305</v>
      </c>
      <c r="H172">
        <v>258.47000000000003</v>
      </c>
      <c r="K172">
        <v>29</v>
      </c>
    </row>
    <row r="173" spans="2:11" ht="12.75" customHeight="1" x14ac:dyDescent="0.3">
      <c r="B173">
        <v>73</v>
      </c>
      <c r="C173" t="s">
        <v>209</v>
      </c>
      <c r="F173">
        <v>1975</v>
      </c>
    </row>
    <row r="174" spans="2:11" ht="12.75" customHeight="1" x14ac:dyDescent="0.3">
      <c r="B174">
        <v>74</v>
      </c>
      <c r="C174" t="s">
        <v>210</v>
      </c>
      <c r="F174">
        <v>2499</v>
      </c>
      <c r="G174">
        <v>2054.66</v>
      </c>
      <c r="K174">
        <v>30</v>
      </c>
    </row>
    <row r="175" spans="2:11" ht="12.75" customHeight="1" x14ac:dyDescent="0.3">
      <c r="B175">
        <v>75</v>
      </c>
      <c r="C175" t="s">
        <v>210</v>
      </c>
      <c r="F175">
        <v>2424.5</v>
      </c>
    </row>
    <row r="176" spans="2:11" ht="12.75" customHeight="1" x14ac:dyDescent="0.3">
      <c r="B176">
        <v>76</v>
      </c>
      <c r="C176" t="s">
        <v>211</v>
      </c>
      <c r="F176">
        <v>2499</v>
      </c>
    </row>
    <row r="177" spans="2:11" ht="12.75" customHeight="1" x14ac:dyDescent="0.3">
      <c r="B177">
        <v>77</v>
      </c>
      <c r="C177" t="s">
        <v>212</v>
      </c>
      <c r="F177">
        <v>617</v>
      </c>
      <c r="G177">
        <v>261.44</v>
      </c>
      <c r="K177">
        <v>31</v>
      </c>
    </row>
    <row r="178" spans="2:11" ht="12.75" customHeight="1" x14ac:dyDescent="0.3">
      <c r="B178">
        <v>78</v>
      </c>
      <c r="C178" t="s">
        <v>213</v>
      </c>
      <c r="F178">
        <v>221</v>
      </c>
    </row>
    <row r="179" spans="2:11" ht="12.75" customHeight="1" x14ac:dyDescent="0.3">
      <c r="B179">
        <v>79</v>
      </c>
      <c r="C179" t="s">
        <v>214</v>
      </c>
      <c r="F179">
        <v>295</v>
      </c>
      <c r="G179">
        <v>125</v>
      </c>
      <c r="K179">
        <v>32</v>
      </c>
    </row>
    <row r="180" spans="2:11" x14ac:dyDescent="0.3">
      <c r="B180">
        <v>80</v>
      </c>
      <c r="C180" t="s">
        <v>215</v>
      </c>
      <c r="F180">
        <v>5346</v>
      </c>
    </row>
    <row r="181" spans="2:11" x14ac:dyDescent="0.3">
      <c r="B181">
        <v>81</v>
      </c>
      <c r="C181" t="s">
        <v>216</v>
      </c>
      <c r="F181">
        <v>202</v>
      </c>
    </row>
    <row r="182" spans="2:11" x14ac:dyDescent="0.3">
      <c r="B182">
        <v>82</v>
      </c>
      <c r="C182" t="s">
        <v>217</v>
      </c>
      <c r="F182">
        <v>663</v>
      </c>
    </row>
    <row r="183" spans="2:11" x14ac:dyDescent="0.3">
      <c r="B183">
        <v>83</v>
      </c>
      <c r="C183" t="s">
        <v>218</v>
      </c>
      <c r="F183">
        <v>1332</v>
      </c>
      <c r="G183">
        <v>1128.81</v>
      </c>
      <c r="K183">
        <v>33</v>
      </c>
    </row>
    <row r="184" spans="2:11" ht="13.5" customHeight="1" x14ac:dyDescent="0.3">
      <c r="B184">
        <v>84</v>
      </c>
      <c r="C184" t="s">
        <v>219</v>
      </c>
      <c r="F184">
        <v>1014</v>
      </c>
      <c r="G184">
        <v>859.32</v>
      </c>
      <c r="K184">
        <v>34</v>
      </c>
    </row>
    <row r="185" spans="2:11" ht="12" customHeight="1" x14ac:dyDescent="0.3">
      <c r="B185">
        <v>85</v>
      </c>
      <c r="C185" t="s">
        <v>220</v>
      </c>
      <c r="F185">
        <v>70</v>
      </c>
      <c r="G185">
        <v>59.32</v>
      </c>
      <c r="K185">
        <v>35</v>
      </c>
    </row>
    <row r="186" spans="2:11" x14ac:dyDescent="0.3">
      <c r="B186">
        <v>86</v>
      </c>
      <c r="C186" t="s">
        <v>221</v>
      </c>
      <c r="F186">
        <v>70</v>
      </c>
    </row>
    <row r="187" spans="2:11" ht="12.75" customHeight="1" x14ac:dyDescent="0.3">
      <c r="B187">
        <v>87</v>
      </c>
      <c r="C187" t="s">
        <v>222</v>
      </c>
      <c r="F187">
        <v>7300</v>
      </c>
      <c r="H187">
        <v>6186.44</v>
      </c>
      <c r="K187">
        <v>36</v>
      </c>
    </row>
    <row r="188" spans="2:11" x14ac:dyDescent="0.3">
      <c r="B188">
        <v>88</v>
      </c>
      <c r="C188" t="s">
        <v>223</v>
      </c>
      <c r="F188">
        <v>13400</v>
      </c>
    </row>
    <row r="189" spans="2:11" x14ac:dyDescent="0.3">
      <c r="B189">
        <v>89</v>
      </c>
      <c r="C189" t="s">
        <v>224</v>
      </c>
      <c r="F189">
        <v>22096.5</v>
      </c>
    </row>
    <row r="190" spans="2:11" ht="53.25" customHeight="1" x14ac:dyDescent="0.3">
      <c r="B190">
        <v>90</v>
      </c>
      <c r="C190" t="s">
        <v>224</v>
      </c>
      <c r="F190">
        <v>7365.5</v>
      </c>
    </row>
    <row r="191" spans="2:11" x14ac:dyDescent="0.3">
      <c r="B191">
        <v>91</v>
      </c>
      <c r="C191" t="s">
        <v>225</v>
      </c>
      <c r="F191">
        <v>28.5</v>
      </c>
      <c r="G191">
        <v>28.5</v>
      </c>
      <c r="J191">
        <v>92.25</v>
      </c>
      <c r="K191">
        <v>37</v>
      </c>
    </row>
    <row r="192" spans="2:11" x14ac:dyDescent="0.3">
      <c r="B192">
        <v>92</v>
      </c>
      <c r="C192" t="s">
        <v>226</v>
      </c>
      <c r="F192">
        <v>8407.5</v>
      </c>
      <c r="G192">
        <v>7125</v>
      </c>
      <c r="K192">
        <v>38</v>
      </c>
    </row>
    <row r="193" spans="2:11" x14ac:dyDescent="0.3">
      <c r="B193">
        <v>93</v>
      </c>
      <c r="C193" t="s">
        <v>227</v>
      </c>
      <c r="F193">
        <v>1544</v>
      </c>
    </row>
    <row r="194" spans="2:11" ht="14.25" customHeight="1" x14ac:dyDescent="0.3">
      <c r="B194">
        <v>94</v>
      </c>
      <c r="C194" t="s">
        <v>228</v>
      </c>
      <c r="F194">
        <v>1599</v>
      </c>
      <c r="G194">
        <v>1355.08</v>
      </c>
      <c r="K194">
        <v>39</v>
      </c>
    </row>
    <row r="195" spans="2:11" x14ac:dyDescent="0.3">
      <c r="B195">
        <v>95</v>
      </c>
      <c r="C195" t="s">
        <v>229</v>
      </c>
      <c r="F195">
        <v>1557.5</v>
      </c>
      <c r="G195">
        <v>1319.91</v>
      </c>
      <c r="K195">
        <v>40</v>
      </c>
    </row>
    <row r="196" spans="2:11" x14ac:dyDescent="0.3">
      <c r="B196">
        <v>96</v>
      </c>
      <c r="C196" t="s">
        <v>230</v>
      </c>
      <c r="F196">
        <v>13.5</v>
      </c>
    </row>
    <row r="197" spans="2:11" x14ac:dyDescent="0.3">
      <c r="B197">
        <v>97</v>
      </c>
      <c r="C197" t="s">
        <v>231</v>
      </c>
      <c r="F197">
        <v>25287</v>
      </c>
    </row>
    <row r="198" spans="2:11" x14ac:dyDescent="0.3">
      <c r="B198">
        <v>98</v>
      </c>
      <c r="C198" t="s">
        <v>232</v>
      </c>
      <c r="F198">
        <v>8914.5</v>
      </c>
      <c r="G198">
        <v>7554.66</v>
      </c>
      <c r="K198">
        <v>41</v>
      </c>
    </row>
    <row r="199" spans="2:11" x14ac:dyDescent="0.3">
      <c r="B199">
        <v>99</v>
      </c>
      <c r="C199" t="s">
        <v>233</v>
      </c>
      <c r="F199">
        <v>3263</v>
      </c>
      <c r="G199">
        <v>2765.24</v>
      </c>
      <c r="K199">
        <v>42</v>
      </c>
    </row>
    <row r="200" spans="2:11" x14ac:dyDescent="0.3">
      <c r="B200">
        <v>100</v>
      </c>
      <c r="C200" t="s">
        <v>234</v>
      </c>
      <c r="F200">
        <v>3300</v>
      </c>
      <c r="H200">
        <v>2796.61</v>
      </c>
      <c r="K200">
        <v>43</v>
      </c>
    </row>
    <row r="201" spans="2:11" x14ac:dyDescent="0.3">
      <c r="B201">
        <v>101</v>
      </c>
      <c r="C201" t="s">
        <v>235</v>
      </c>
      <c r="F201">
        <v>820</v>
      </c>
      <c r="G201">
        <v>694.9</v>
      </c>
      <c r="K201">
        <v>44</v>
      </c>
    </row>
    <row r="202" spans="2:11" x14ac:dyDescent="0.3">
      <c r="B202">
        <v>102</v>
      </c>
      <c r="C202" t="s">
        <v>236</v>
      </c>
      <c r="F202">
        <v>5531</v>
      </c>
      <c r="G202">
        <v>4687.28</v>
      </c>
      <c r="K202">
        <v>45</v>
      </c>
    </row>
    <row r="203" spans="2:11" x14ac:dyDescent="0.3">
      <c r="B203">
        <v>103</v>
      </c>
      <c r="C203" t="s">
        <v>237</v>
      </c>
      <c r="F203">
        <v>248.5</v>
      </c>
      <c r="G203">
        <v>210.59</v>
      </c>
      <c r="K203">
        <v>46</v>
      </c>
    </row>
    <row r="204" spans="2:11" x14ac:dyDescent="0.3">
      <c r="B204">
        <v>104</v>
      </c>
      <c r="C204" t="s">
        <v>238</v>
      </c>
      <c r="F204">
        <v>248.5</v>
      </c>
      <c r="G204">
        <v>210.59</v>
      </c>
      <c r="K204">
        <v>47</v>
      </c>
    </row>
    <row r="205" spans="2:11" x14ac:dyDescent="0.3">
      <c r="B205">
        <v>105</v>
      </c>
      <c r="C205" t="s">
        <v>239</v>
      </c>
      <c r="F205">
        <v>1750.5</v>
      </c>
      <c r="G205">
        <v>1483.47</v>
      </c>
      <c r="K205">
        <v>48</v>
      </c>
    </row>
    <row r="206" spans="2:11" x14ac:dyDescent="0.3">
      <c r="B206">
        <v>106</v>
      </c>
      <c r="C206" t="s">
        <v>240</v>
      </c>
      <c r="F206">
        <v>1750.5</v>
      </c>
      <c r="G206">
        <v>1483.47</v>
      </c>
      <c r="K206">
        <v>49</v>
      </c>
    </row>
    <row r="207" spans="2:11" x14ac:dyDescent="0.3">
      <c r="B207">
        <v>107</v>
      </c>
      <c r="C207" t="s">
        <v>241</v>
      </c>
      <c r="F207">
        <v>1060</v>
      </c>
      <c r="G207">
        <v>898.3</v>
      </c>
      <c r="K207">
        <v>50</v>
      </c>
    </row>
    <row r="208" spans="2:11" x14ac:dyDescent="0.3">
      <c r="B208">
        <v>108</v>
      </c>
      <c r="C208" t="s">
        <v>242</v>
      </c>
      <c r="F208">
        <v>43</v>
      </c>
    </row>
    <row r="209" spans="2:11" x14ac:dyDescent="0.3">
      <c r="B209">
        <v>109</v>
      </c>
      <c r="C209" t="s">
        <v>243</v>
      </c>
      <c r="F209">
        <v>2424.5</v>
      </c>
      <c r="G209">
        <v>2054.66</v>
      </c>
      <c r="K209">
        <v>51</v>
      </c>
    </row>
    <row r="210" spans="2:11" x14ac:dyDescent="0.3">
      <c r="B210">
        <v>110</v>
      </c>
      <c r="C210" t="s">
        <v>244</v>
      </c>
      <c r="F210">
        <v>44</v>
      </c>
    </row>
    <row r="211" spans="2:11" x14ac:dyDescent="0.3">
      <c r="B211">
        <v>111</v>
      </c>
      <c r="C211" t="s">
        <v>245</v>
      </c>
      <c r="F211">
        <v>1322.5</v>
      </c>
    </row>
    <row r="212" spans="2:11" x14ac:dyDescent="0.3">
      <c r="B212">
        <v>112</v>
      </c>
      <c r="C212" t="s">
        <v>246</v>
      </c>
      <c r="F212">
        <v>47.5</v>
      </c>
    </row>
    <row r="213" spans="2:11" x14ac:dyDescent="0.3">
      <c r="B213">
        <v>113</v>
      </c>
      <c r="C213" t="s">
        <v>247</v>
      </c>
      <c r="F213">
        <v>10025</v>
      </c>
      <c r="G213">
        <v>8495.76</v>
      </c>
      <c r="K213">
        <v>52</v>
      </c>
    </row>
    <row r="214" spans="2:11" x14ac:dyDescent="0.3">
      <c r="B214">
        <v>114</v>
      </c>
      <c r="C214" t="s">
        <v>248</v>
      </c>
      <c r="F214">
        <v>188.5</v>
      </c>
    </row>
    <row r="215" spans="2:11" x14ac:dyDescent="0.3">
      <c r="B215">
        <v>115</v>
      </c>
      <c r="C215" t="s">
        <v>249</v>
      </c>
      <c r="F215">
        <v>32</v>
      </c>
    </row>
    <row r="216" spans="2:11" x14ac:dyDescent="0.3">
      <c r="B216">
        <v>116</v>
      </c>
      <c r="C216" t="s">
        <v>250</v>
      </c>
      <c r="F216">
        <v>10025</v>
      </c>
      <c r="G216">
        <v>8495.76</v>
      </c>
      <c r="K216">
        <v>53</v>
      </c>
    </row>
    <row r="217" spans="2:11" x14ac:dyDescent="0.3">
      <c r="B217">
        <v>117</v>
      </c>
      <c r="C217" t="s">
        <v>251</v>
      </c>
      <c r="F217">
        <v>188.5</v>
      </c>
    </row>
    <row r="218" spans="2:11" x14ac:dyDescent="0.3">
      <c r="B218">
        <v>118</v>
      </c>
      <c r="C218" t="s">
        <v>252</v>
      </c>
      <c r="F218">
        <v>32</v>
      </c>
    </row>
    <row r="219" spans="2:11" x14ac:dyDescent="0.3">
      <c r="B219">
        <v>119</v>
      </c>
      <c r="C219" t="s">
        <v>253</v>
      </c>
      <c r="F219">
        <v>101</v>
      </c>
    </row>
    <row r="220" spans="2:11" x14ac:dyDescent="0.3">
      <c r="B220">
        <v>120</v>
      </c>
      <c r="C220" t="s">
        <v>254</v>
      </c>
      <c r="F220">
        <v>61.5</v>
      </c>
    </row>
    <row r="221" spans="2:11" x14ac:dyDescent="0.3">
      <c r="B221">
        <v>121</v>
      </c>
      <c r="C221" t="s">
        <v>255</v>
      </c>
      <c r="F221">
        <v>622</v>
      </c>
      <c r="G221">
        <v>527.11</v>
      </c>
      <c r="K221">
        <v>54</v>
      </c>
    </row>
    <row r="222" spans="2:11" x14ac:dyDescent="0.3">
      <c r="B222">
        <v>122</v>
      </c>
      <c r="C222" t="s">
        <v>256</v>
      </c>
      <c r="F222">
        <v>17.5</v>
      </c>
    </row>
    <row r="223" spans="2:11" x14ac:dyDescent="0.3">
      <c r="B223">
        <v>123</v>
      </c>
      <c r="C223" t="s">
        <v>257</v>
      </c>
      <c r="F223">
        <v>27.5</v>
      </c>
    </row>
    <row r="224" spans="2:11" x14ac:dyDescent="0.3">
      <c r="B224">
        <v>124</v>
      </c>
      <c r="C224" t="s">
        <v>258</v>
      </c>
      <c r="F224">
        <v>433</v>
      </c>
    </row>
    <row r="225" spans="2:11" x14ac:dyDescent="0.3">
      <c r="B225">
        <v>125</v>
      </c>
      <c r="C225" t="s">
        <v>259</v>
      </c>
      <c r="F225">
        <v>101</v>
      </c>
    </row>
    <row r="226" spans="2:11" x14ac:dyDescent="0.3">
      <c r="B226">
        <v>126</v>
      </c>
      <c r="C226" t="s">
        <v>260</v>
      </c>
      <c r="F226">
        <v>17.5</v>
      </c>
    </row>
    <row r="227" spans="2:11" x14ac:dyDescent="0.3">
      <c r="B227">
        <v>127</v>
      </c>
      <c r="C227" t="s">
        <v>261</v>
      </c>
      <c r="F227">
        <v>27.5</v>
      </c>
    </row>
    <row r="228" spans="2:11" x14ac:dyDescent="0.3">
      <c r="B228">
        <v>128</v>
      </c>
      <c r="C228" t="s">
        <v>262</v>
      </c>
      <c r="F228">
        <v>428.5</v>
      </c>
    </row>
    <row r="229" spans="2:11" x14ac:dyDescent="0.3">
      <c r="B229">
        <v>129</v>
      </c>
      <c r="C229" t="s">
        <v>263</v>
      </c>
      <c r="F229">
        <v>23</v>
      </c>
    </row>
    <row r="230" spans="2:11" x14ac:dyDescent="0.3">
      <c r="B230">
        <v>130</v>
      </c>
      <c r="C230" t="s">
        <v>264</v>
      </c>
      <c r="F230">
        <v>1200</v>
      </c>
      <c r="G230">
        <v>1016.94</v>
      </c>
      <c r="K230">
        <v>55</v>
      </c>
    </row>
    <row r="231" spans="2:11" x14ac:dyDescent="0.3">
      <c r="B231">
        <v>131</v>
      </c>
      <c r="C231" t="s">
        <v>265</v>
      </c>
      <c r="F231">
        <v>8757.5</v>
      </c>
      <c r="G231">
        <v>7421.61</v>
      </c>
      <c r="K231">
        <v>56</v>
      </c>
    </row>
    <row r="232" spans="2:11" x14ac:dyDescent="0.3">
      <c r="B232">
        <v>132</v>
      </c>
      <c r="C232" t="s">
        <v>266</v>
      </c>
      <c r="F232">
        <v>1373</v>
      </c>
      <c r="G232">
        <v>1163.54</v>
      </c>
      <c r="K232">
        <v>57</v>
      </c>
    </row>
    <row r="233" spans="2:11" x14ac:dyDescent="0.3">
      <c r="B233">
        <v>133</v>
      </c>
      <c r="C233" t="s">
        <v>267</v>
      </c>
      <c r="F233">
        <v>133.5</v>
      </c>
      <c r="G233">
        <v>133.5</v>
      </c>
      <c r="J233">
        <v>92.759999999999991</v>
      </c>
      <c r="K233">
        <v>58</v>
      </c>
    </row>
    <row r="234" spans="2:11" x14ac:dyDescent="0.3">
      <c r="B234">
        <v>134</v>
      </c>
      <c r="C234" t="s">
        <v>267</v>
      </c>
      <c r="F234">
        <v>133.5</v>
      </c>
      <c r="G234">
        <v>113.13</v>
      </c>
      <c r="K234">
        <v>59</v>
      </c>
    </row>
    <row r="235" spans="2:11" x14ac:dyDescent="0.3">
      <c r="B235">
        <v>135</v>
      </c>
      <c r="C235" t="s">
        <v>268</v>
      </c>
      <c r="F235">
        <v>133.5</v>
      </c>
    </row>
    <row r="236" spans="2:11" x14ac:dyDescent="0.3">
      <c r="B236">
        <v>136</v>
      </c>
      <c r="C236" t="s">
        <v>269</v>
      </c>
      <c r="F236">
        <v>2622.5</v>
      </c>
    </row>
    <row r="237" spans="2:11" x14ac:dyDescent="0.3">
      <c r="B237">
        <v>137</v>
      </c>
      <c r="C237" t="s">
        <v>270</v>
      </c>
      <c r="F237">
        <v>13.5</v>
      </c>
    </row>
    <row r="238" spans="2:11" x14ac:dyDescent="0.3">
      <c r="B238">
        <v>138</v>
      </c>
      <c r="C238" t="s">
        <v>271</v>
      </c>
      <c r="F238">
        <v>253.5</v>
      </c>
      <c r="H238">
        <v>214.83</v>
      </c>
      <c r="K238">
        <v>60</v>
      </c>
    </row>
    <row r="239" spans="2:11" x14ac:dyDescent="0.3">
      <c r="B239">
        <v>139</v>
      </c>
      <c r="C239" t="s">
        <v>271</v>
      </c>
      <c r="F239">
        <v>253.5</v>
      </c>
    </row>
    <row r="240" spans="2:11" x14ac:dyDescent="0.3">
      <c r="B240">
        <v>140</v>
      </c>
      <c r="C240" t="s">
        <v>272</v>
      </c>
      <c r="F240">
        <v>59.5</v>
      </c>
      <c r="H240">
        <v>50.42</v>
      </c>
      <c r="K240">
        <v>61</v>
      </c>
    </row>
    <row r="241" spans="2:11" x14ac:dyDescent="0.3">
      <c r="B241">
        <v>141</v>
      </c>
      <c r="C241" t="s">
        <v>273</v>
      </c>
      <c r="F241">
        <v>59.5</v>
      </c>
      <c r="H241">
        <v>59.5</v>
      </c>
      <c r="J241">
        <v>3.6300000000000026</v>
      </c>
      <c r="K241">
        <v>62</v>
      </c>
    </row>
    <row r="242" spans="2:11" x14ac:dyDescent="0.3">
      <c r="B242">
        <v>142</v>
      </c>
      <c r="C242" t="s">
        <v>274</v>
      </c>
      <c r="F242">
        <v>92</v>
      </c>
      <c r="H242">
        <v>77.959999999999994</v>
      </c>
      <c r="K242">
        <v>64</v>
      </c>
    </row>
    <row r="243" spans="2:11" x14ac:dyDescent="0.3">
      <c r="B243">
        <v>143</v>
      </c>
      <c r="C243" t="s">
        <v>275</v>
      </c>
      <c r="F243">
        <v>92</v>
      </c>
      <c r="H243">
        <v>77.959999999999994</v>
      </c>
      <c r="K243">
        <v>65</v>
      </c>
    </row>
    <row r="244" spans="2:11" x14ac:dyDescent="0.3">
      <c r="B244">
        <v>144</v>
      </c>
      <c r="C244" t="s">
        <v>276</v>
      </c>
      <c r="F244">
        <v>5346.5</v>
      </c>
      <c r="H244">
        <v>4530.93</v>
      </c>
      <c r="K244">
        <v>66</v>
      </c>
    </row>
    <row r="245" spans="2:11" x14ac:dyDescent="0.3">
      <c r="B245">
        <v>145</v>
      </c>
      <c r="C245" t="s">
        <v>277</v>
      </c>
      <c r="F245">
        <v>5992</v>
      </c>
    </row>
    <row r="246" spans="2:11" x14ac:dyDescent="0.3">
      <c r="B246">
        <v>146</v>
      </c>
      <c r="C246" t="s">
        <v>278</v>
      </c>
      <c r="F246">
        <v>76.5</v>
      </c>
    </row>
    <row r="247" spans="2:11" x14ac:dyDescent="0.3">
      <c r="B247">
        <v>147</v>
      </c>
      <c r="C247" t="s">
        <v>279</v>
      </c>
      <c r="F247">
        <v>101</v>
      </c>
      <c r="H247">
        <v>81.77</v>
      </c>
      <c r="K247">
        <v>67</v>
      </c>
    </row>
    <row r="248" spans="2:11" x14ac:dyDescent="0.3">
      <c r="B248">
        <v>148</v>
      </c>
      <c r="C248" t="s">
        <v>279</v>
      </c>
      <c r="F248">
        <v>96.5</v>
      </c>
      <c r="H248">
        <v>55.08</v>
      </c>
      <c r="K248">
        <v>68</v>
      </c>
    </row>
    <row r="249" spans="2:11" x14ac:dyDescent="0.3">
      <c r="B249">
        <v>149</v>
      </c>
      <c r="C249" t="s">
        <v>280</v>
      </c>
      <c r="F249">
        <v>65</v>
      </c>
      <c r="H249">
        <v>65</v>
      </c>
      <c r="J249">
        <v>16.769999999999996</v>
      </c>
      <c r="K249">
        <v>69</v>
      </c>
    </row>
    <row r="250" spans="2:11" x14ac:dyDescent="0.3">
      <c r="B250">
        <v>150</v>
      </c>
      <c r="C250" t="s">
        <v>280</v>
      </c>
      <c r="F250">
        <v>65</v>
      </c>
      <c r="H250">
        <v>55.08</v>
      </c>
      <c r="K250">
        <v>70</v>
      </c>
    </row>
    <row r="251" spans="2:11" x14ac:dyDescent="0.3">
      <c r="B251">
        <v>151</v>
      </c>
      <c r="C251" t="s">
        <v>281</v>
      </c>
      <c r="F251">
        <v>101</v>
      </c>
    </row>
    <row r="252" spans="2:11" x14ac:dyDescent="0.3">
      <c r="B252">
        <v>152</v>
      </c>
      <c r="C252" t="s">
        <v>281</v>
      </c>
      <c r="F252">
        <v>96.5</v>
      </c>
    </row>
    <row r="253" spans="2:11" x14ac:dyDescent="0.3">
      <c r="B253">
        <v>153</v>
      </c>
      <c r="C253" t="s">
        <v>282</v>
      </c>
      <c r="F253">
        <v>65</v>
      </c>
    </row>
    <row r="254" spans="2:11" x14ac:dyDescent="0.3">
      <c r="B254">
        <v>154</v>
      </c>
      <c r="C254" t="s">
        <v>282</v>
      </c>
      <c r="F254">
        <v>65</v>
      </c>
    </row>
    <row r="255" spans="2:11" x14ac:dyDescent="0.3">
      <c r="B255">
        <v>155</v>
      </c>
      <c r="C255" t="s">
        <v>283</v>
      </c>
      <c r="F255">
        <v>101</v>
      </c>
    </row>
    <row r="256" spans="2:11" x14ac:dyDescent="0.3">
      <c r="B256">
        <v>156</v>
      </c>
      <c r="C256" t="s">
        <v>284</v>
      </c>
      <c r="F256">
        <v>62.5</v>
      </c>
    </row>
    <row r="257" spans="2:11" x14ac:dyDescent="0.3">
      <c r="B257">
        <v>157</v>
      </c>
      <c r="C257" t="s">
        <v>285</v>
      </c>
      <c r="F257">
        <v>700.5</v>
      </c>
      <c r="H257">
        <v>593.64</v>
      </c>
      <c r="K257">
        <v>71</v>
      </c>
    </row>
    <row r="258" spans="2:11" x14ac:dyDescent="0.3">
      <c r="B258">
        <v>158</v>
      </c>
      <c r="C258" t="s">
        <v>286</v>
      </c>
      <c r="F258">
        <v>935.5</v>
      </c>
      <c r="H258">
        <v>792.79</v>
      </c>
      <c r="K258">
        <v>72</v>
      </c>
    </row>
    <row r="259" spans="2:11" x14ac:dyDescent="0.3">
      <c r="B259">
        <v>159</v>
      </c>
      <c r="C259" t="s">
        <v>286</v>
      </c>
      <c r="F259">
        <v>935.5</v>
      </c>
      <c r="H259">
        <v>54.66</v>
      </c>
      <c r="K259">
        <v>79</v>
      </c>
    </row>
    <row r="260" spans="2:11" x14ac:dyDescent="0.3">
      <c r="B260">
        <v>160</v>
      </c>
      <c r="C260" t="s">
        <v>285</v>
      </c>
      <c r="F260">
        <v>700.5</v>
      </c>
      <c r="H260">
        <v>593.64</v>
      </c>
      <c r="K260">
        <v>73</v>
      </c>
    </row>
    <row r="261" spans="2:11" x14ac:dyDescent="0.3">
      <c r="B261">
        <v>161</v>
      </c>
      <c r="C261" t="s">
        <v>287</v>
      </c>
      <c r="F261">
        <v>161</v>
      </c>
      <c r="H261">
        <v>136.44</v>
      </c>
      <c r="K261">
        <v>74</v>
      </c>
    </row>
    <row r="262" spans="2:11" x14ac:dyDescent="0.3">
      <c r="B262">
        <v>162</v>
      </c>
      <c r="C262" t="s">
        <v>288</v>
      </c>
      <c r="F262">
        <v>161</v>
      </c>
      <c r="H262">
        <v>136.44</v>
      </c>
      <c r="K262">
        <v>75</v>
      </c>
    </row>
    <row r="263" spans="2:11" x14ac:dyDescent="0.3">
      <c r="B263">
        <v>163</v>
      </c>
      <c r="C263" t="s">
        <v>289</v>
      </c>
      <c r="F263">
        <v>80</v>
      </c>
    </row>
    <row r="264" spans="2:11" x14ac:dyDescent="0.3">
      <c r="B264">
        <v>164</v>
      </c>
      <c r="C264" t="s">
        <v>290</v>
      </c>
      <c r="F264">
        <v>64.5</v>
      </c>
    </row>
    <row r="265" spans="2:11" x14ac:dyDescent="0.3">
      <c r="B265">
        <v>165</v>
      </c>
      <c r="C265" t="s">
        <v>290</v>
      </c>
      <c r="F265">
        <v>64.5</v>
      </c>
    </row>
    <row r="266" spans="2:11" x14ac:dyDescent="0.3">
      <c r="B266">
        <v>166</v>
      </c>
      <c r="C266" t="s">
        <v>291</v>
      </c>
      <c r="F266">
        <v>6</v>
      </c>
    </row>
    <row r="267" spans="2:11" x14ac:dyDescent="0.3">
      <c r="B267">
        <v>167</v>
      </c>
      <c r="C267" t="s">
        <v>292</v>
      </c>
      <c r="F267">
        <v>1207.5</v>
      </c>
      <c r="G267">
        <v>1023.3</v>
      </c>
      <c r="K267">
        <v>77</v>
      </c>
    </row>
    <row r="268" spans="2:11" x14ac:dyDescent="0.3">
      <c r="B268">
        <v>168</v>
      </c>
      <c r="C268" t="s">
        <v>293</v>
      </c>
      <c r="F268">
        <v>184</v>
      </c>
    </row>
    <row r="269" spans="2:11" x14ac:dyDescent="0.3">
      <c r="B269">
        <v>169</v>
      </c>
      <c r="C269" t="s">
        <v>294</v>
      </c>
      <c r="F269">
        <v>188.5</v>
      </c>
    </row>
    <row r="270" spans="2:11" x14ac:dyDescent="0.3">
      <c r="B270">
        <v>170</v>
      </c>
      <c r="C270" t="s">
        <v>295</v>
      </c>
      <c r="F270">
        <v>267</v>
      </c>
    </row>
    <row r="271" spans="2:11" x14ac:dyDescent="0.3">
      <c r="B271">
        <v>171</v>
      </c>
      <c r="C271" t="s">
        <v>296</v>
      </c>
      <c r="F271">
        <v>341</v>
      </c>
      <c r="H271">
        <v>288.98</v>
      </c>
      <c r="K271">
        <v>78</v>
      </c>
    </row>
    <row r="272" spans="2:11" x14ac:dyDescent="0.3">
      <c r="B272">
        <v>172</v>
      </c>
      <c r="C272" t="s">
        <v>297</v>
      </c>
      <c r="F272">
        <v>64.5</v>
      </c>
    </row>
    <row r="273" spans="2:11" x14ac:dyDescent="0.3">
      <c r="B273">
        <v>173</v>
      </c>
      <c r="C273" t="s">
        <v>297</v>
      </c>
      <c r="F273">
        <v>64.5</v>
      </c>
    </row>
    <row r="274" spans="2:11" x14ac:dyDescent="0.3">
      <c r="B274">
        <v>174</v>
      </c>
      <c r="C274" t="s">
        <v>298</v>
      </c>
      <c r="F274">
        <v>71.5</v>
      </c>
    </row>
    <row r="275" spans="2:11" x14ac:dyDescent="0.3">
      <c r="B275">
        <v>175</v>
      </c>
      <c r="C275" t="s">
        <v>299</v>
      </c>
      <c r="F275">
        <v>43</v>
      </c>
      <c r="H275">
        <v>36.44</v>
      </c>
      <c r="K275">
        <v>80</v>
      </c>
    </row>
    <row r="276" spans="2:11" x14ac:dyDescent="0.3">
      <c r="B276">
        <v>176</v>
      </c>
      <c r="C276" t="s">
        <v>300</v>
      </c>
      <c r="F276">
        <v>42</v>
      </c>
      <c r="H276">
        <v>35.590000000000003</v>
      </c>
      <c r="K276">
        <v>81</v>
      </c>
    </row>
    <row r="277" spans="2:11" x14ac:dyDescent="0.3">
      <c r="B277">
        <v>177</v>
      </c>
      <c r="C277" t="s">
        <v>148</v>
      </c>
      <c r="F277">
        <v>25</v>
      </c>
    </row>
    <row r="278" spans="2:11" x14ac:dyDescent="0.3">
      <c r="B278">
        <v>178</v>
      </c>
      <c r="C278" t="s">
        <v>301</v>
      </c>
      <c r="F278">
        <v>92</v>
      </c>
      <c r="H278">
        <v>77.959999999999994</v>
      </c>
      <c r="K278">
        <v>82</v>
      </c>
    </row>
    <row r="279" spans="2:11" x14ac:dyDescent="0.3">
      <c r="B279">
        <v>179</v>
      </c>
      <c r="C279" t="s">
        <v>301</v>
      </c>
      <c r="F279">
        <v>92</v>
      </c>
      <c r="H279">
        <v>77.959999999999994</v>
      </c>
      <c r="K279">
        <v>83</v>
      </c>
    </row>
    <row r="280" spans="2:11" x14ac:dyDescent="0.3">
      <c r="B280">
        <v>180</v>
      </c>
      <c r="C280" t="s">
        <v>302</v>
      </c>
      <c r="F280">
        <v>92</v>
      </c>
    </row>
    <row r="281" spans="2:11" x14ac:dyDescent="0.3">
      <c r="B281">
        <v>181</v>
      </c>
      <c r="C281" t="s">
        <v>302</v>
      </c>
      <c r="F281">
        <v>92</v>
      </c>
    </row>
    <row r="282" spans="2:11" x14ac:dyDescent="0.3">
      <c r="B282">
        <v>182</v>
      </c>
      <c r="C282" t="s">
        <v>303</v>
      </c>
      <c r="F282">
        <v>138</v>
      </c>
    </row>
    <row r="283" spans="2:11" x14ac:dyDescent="0.3">
      <c r="B283">
        <v>183</v>
      </c>
      <c r="C283" t="s">
        <v>304</v>
      </c>
      <c r="F283">
        <v>92</v>
      </c>
      <c r="H283">
        <v>77.959999999999994</v>
      </c>
      <c r="K283">
        <v>84</v>
      </c>
    </row>
    <row r="284" spans="2:11" x14ac:dyDescent="0.3">
      <c r="B284">
        <v>184</v>
      </c>
      <c r="C284" t="s">
        <v>305</v>
      </c>
      <c r="F284">
        <v>129</v>
      </c>
      <c r="H284">
        <v>109.32</v>
      </c>
      <c r="K284">
        <v>85</v>
      </c>
    </row>
    <row r="285" spans="2:11" x14ac:dyDescent="0.3">
      <c r="B285">
        <v>185</v>
      </c>
      <c r="C285" t="s">
        <v>306</v>
      </c>
      <c r="F285">
        <v>76.5</v>
      </c>
      <c r="H285">
        <v>64.83</v>
      </c>
      <c r="K285">
        <v>86</v>
      </c>
    </row>
    <row r="286" spans="2:11" x14ac:dyDescent="0.3">
      <c r="B286">
        <v>186</v>
      </c>
      <c r="C286" t="s">
        <v>307</v>
      </c>
      <c r="F286">
        <v>41</v>
      </c>
      <c r="H286">
        <v>34.74</v>
      </c>
      <c r="K286">
        <v>87</v>
      </c>
    </row>
    <row r="287" spans="2:11" x14ac:dyDescent="0.3">
      <c r="B287">
        <v>187</v>
      </c>
      <c r="C287" t="s">
        <v>308</v>
      </c>
      <c r="F287">
        <v>1045</v>
      </c>
      <c r="G287">
        <v>885.59</v>
      </c>
      <c r="K287">
        <v>88</v>
      </c>
    </row>
    <row r="288" spans="2:11" x14ac:dyDescent="0.3">
      <c r="B288">
        <v>188</v>
      </c>
      <c r="C288" t="s">
        <v>309</v>
      </c>
      <c r="F288">
        <v>184</v>
      </c>
    </row>
    <row r="289" spans="2:11" x14ac:dyDescent="0.3">
      <c r="B289">
        <v>189</v>
      </c>
      <c r="C289" t="s">
        <v>310</v>
      </c>
      <c r="F289">
        <v>613</v>
      </c>
    </row>
    <row r="290" spans="2:11" x14ac:dyDescent="0.3">
      <c r="B290">
        <v>190</v>
      </c>
      <c r="C290" t="s">
        <v>311</v>
      </c>
      <c r="F290">
        <v>6150</v>
      </c>
      <c r="I290">
        <v>5211.8599999999997</v>
      </c>
      <c r="K290">
        <v>89</v>
      </c>
    </row>
    <row r="291" spans="2:11" x14ac:dyDescent="0.3">
      <c r="B291">
        <v>191</v>
      </c>
      <c r="C291" t="s">
        <v>312</v>
      </c>
      <c r="F291">
        <v>350</v>
      </c>
      <c r="H291">
        <v>296.61</v>
      </c>
      <c r="K291">
        <v>90</v>
      </c>
    </row>
    <row r="292" spans="2:11" x14ac:dyDescent="0.3">
      <c r="B292">
        <v>192</v>
      </c>
      <c r="C292" t="s">
        <v>313</v>
      </c>
      <c r="F292">
        <v>5110</v>
      </c>
    </row>
    <row r="293" spans="2:11" x14ac:dyDescent="0.3">
      <c r="B293">
        <v>193</v>
      </c>
      <c r="C293" t="s">
        <v>314</v>
      </c>
      <c r="F293">
        <v>215</v>
      </c>
      <c r="H293">
        <v>182.2</v>
      </c>
      <c r="K293">
        <v>91</v>
      </c>
    </row>
    <row r="294" spans="2:11" x14ac:dyDescent="0.3">
      <c r="B294">
        <v>194</v>
      </c>
      <c r="C294" t="s">
        <v>314</v>
      </c>
      <c r="F294">
        <v>215</v>
      </c>
    </row>
    <row r="295" spans="2:11" x14ac:dyDescent="0.3">
      <c r="B295">
        <v>195</v>
      </c>
      <c r="C295" t="s">
        <v>314</v>
      </c>
      <c r="F295">
        <v>215</v>
      </c>
    </row>
    <row r="296" spans="2:11" x14ac:dyDescent="0.3">
      <c r="B296">
        <v>196</v>
      </c>
      <c r="C296" t="s">
        <v>315</v>
      </c>
      <c r="F296">
        <v>30</v>
      </c>
    </row>
    <row r="297" spans="2:11" x14ac:dyDescent="0.3">
      <c r="B297">
        <v>197</v>
      </c>
      <c r="C297" t="s">
        <v>315</v>
      </c>
      <c r="F297">
        <v>26</v>
      </c>
    </row>
    <row r="298" spans="2:11" x14ac:dyDescent="0.3">
      <c r="B298">
        <v>198</v>
      </c>
      <c r="C298" t="s">
        <v>315</v>
      </c>
      <c r="F298">
        <v>26</v>
      </c>
    </row>
    <row r="299" spans="2:11" x14ac:dyDescent="0.3">
      <c r="B299">
        <v>199</v>
      </c>
      <c r="C299" t="s">
        <v>316</v>
      </c>
      <c r="F299">
        <v>59</v>
      </c>
    </row>
    <row r="300" spans="2:11" x14ac:dyDescent="0.3">
      <c r="B300">
        <v>200</v>
      </c>
      <c r="C300" t="s">
        <v>316</v>
      </c>
      <c r="F300">
        <v>59</v>
      </c>
    </row>
    <row r="301" spans="2:11" x14ac:dyDescent="0.3">
      <c r="B301">
        <v>201</v>
      </c>
      <c r="C301" t="s">
        <v>316</v>
      </c>
      <c r="F301">
        <v>30</v>
      </c>
    </row>
    <row r="302" spans="2:11" x14ac:dyDescent="0.3">
      <c r="B302">
        <v>202</v>
      </c>
      <c r="C302" t="s">
        <v>317</v>
      </c>
      <c r="F302">
        <v>205</v>
      </c>
    </row>
    <row r="303" spans="2:11" x14ac:dyDescent="0.3">
      <c r="B303">
        <v>203</v>
      </c>
      <c r="C303" t="s">
        <v>318</v>
      </c>
      <c r="F303">
        <v>120</v>
      </c>
    </row>
    <row r="304" spans="2:11" x14ac:dyDescent="0.3">
      <c r="B304">
        <v>204</v>
      </c>
      <c r="C304" t="s">
        <v>318</v>
      </c>
      <c r="F304">
        <v>120</v>
      </c>
    </row>
    <row r="305" spans="2:11" x14ac:dyDescent="0.3">
      <c r="B305">
        <v>205</v>
      </c>
      <c r="C305" t="s">
        <v>319</v>
      </c>
      <c r="F305">
        <v>37</v>
      </c>
    </row>
    <row r="306" spans="2:11" x14ac:dyDescent="0.3">
      <c r="B306">
        <v>206</v>
      </c>
      <c r="C306" t="s">
        <v>319</v>
      </c>
      <c r="F306">
        <v>37</v>
      </c>
    </row>
    <row r="307" spans="2:11" x14ac:dyDescent="0.3">
      <c r="B307">
        <v>207</v>
      </c>
      <c r="C307" t="s">
        <v>320</v>
      </c>
      <c r="F307">
        <v>19</v>
      </c>
    </row>
    <row r="308" spans="2:11" x14ac:dyDescent="0.3">
      <c r="B308">
        <v>208</v>
      </c>
      <c r="C308" t="s">
        <v>321</v>
      </c>
      <c r="F308">
        <v>1053</v>
      </c>
    </row>
    <row r="309" spans="2:11" x14ac:dyDescent="0.3">
      <c r="B309">
        <v>209</v>
      </c>
      <c r="C309" t="s">
        <v>322</v>
      </c>
      <c r="F309">
        <v>100</v>
      </c>
    </row>
    <row r="310" spans="2:11" x14ac:dyDescent="0.3">
      <c r="B310">
        <v>210</v>
      </c>
      <c r="C310" t="s">
        <v>323</v>
      </c>
      <c r="F310">
        <v>5</v>
      </c>
    </row>
    <row r="311" spans="2:11" x14ac:dyDescent="0.3">
      <c r="B311">
        <v>211</v>
      </c>
      <c r="C311" t="s">
        <v>324</v>
      </c>
      <c r="F311">
        <v>315</v>
      </c>
      <c r="H311">
        <v>266.94</v>
      </c>
      <c r="K311">
        <v>92</v>
      </c>
    </row>
    <row r="312" spans="2:11" x14ac:dyDescent="0.3">
      <c r="B312">
        <v>212</v>
      </c>
      <c r="C312" t="s">
        <v>325</v>
      </c>
      <c r="F312">
        <v>3779.5</v>
      </c>
      <c r="G312">
        <v>3202.96</v>
      </c>
      <c r="K312">
        <v>93</v>
      </c>
    </row>
    <row r="313" spans="2:11" x14ac:dyDescent="0.3">
      <c r="B313">
        <v>213</v>
      </c>
      <c r="C313" t="s">
        <v>326</v>
      </c>
      <c r="F313">
        <v>894</v>
      </c>
    </row>
    <row r="314" spans="2:11" x14ac:dyDescent="0.3">
      <c r="B314">
        <v>214</v>
      </c>
      <c r="C314" t="s">
        <v>327</v>
      </c>
      <c r="F314">
        <v>950</v>
      </c>
    </row>
    <row r="315" spans="2:11" x14ac:dyDescent="0.3">
      <c r="B315">
        <v>215</v>
      </c>
      <c r="C315" t="s">
        <v>328</v>
      </c>
      <c r="F315">
        <v>1350.5</v>
      </c>
    </row>
    <row r="316" spans="2:11" x14ac:dyDescent="0.3">
      <c r="B316">
        <v>216</v>
      </c>
      <c r="C316" t="s">
        <v>329</v>
      </c>
      <c r="F316">
        <v>1086.5</v>
      </c>
    </row>
    <row r="317" spans="2:11" x14ac:dyDescent="0.3">
      <c r="B317">
        <v>217</v>
      </c>
      <c r="C317" t="s">
        <v>330</v>
      </c>
      <c r="F317">
        <v>834</v>
      </c>
    </row>
    <row r="318" spans="2:11" x14ac:dyDescent="0.3">
      <c r="B318">
        <v>218</v>
      </c>
      <c r="C318" t="s">
        <v>331</v>
      </c>
      <c r="F318">
        <v>1161.5</v>
      </c>
    </row>
    <row r="319" spans="2:11" x14ac:dyDescent="0.3">
      <c r="B319">
        <v>219</v>
      </c>
      <c r="C319" t="s">
        <v>332</v>
      </c>
      <c r="F319">
        <v>894</v>
      </c>
    </row>
    <row r="320" spans="2:11" x14ac:dyDescent="0.3">
      <c r="B320">
        <v>220</v>
      </c>
      <c r="C320" t="s">
        <v>333</v>
      </c>
      <c r="F320">
        <v>1580</v>
      </c>
      <c r="H320">
        <v>1338.98</v>
      </c>
      <c r="K320">
        <v>94</v>
      </c>
    </row>
    <row r="321" spans="2:11" x14ac:dyDescent="0.3">
      <c r="B321">
        <v>221</v>
      </c>
      <c r="C321" t="s">
        <v>334</v>
      </c>
      <c r="F321">
        <v>1160</v>
      </c>
    </row>
    <row r="322" spans="2:11" x14ac:dyDescent="0.3">
      <c r="B322">
        <v>222</v>
      </c>
      <c r="C322" t="s">
        <v>335</v>
      </c>
      <c r="F322">
        <v>962.5</v>
      </c>
      <c r="H322">
        <v>326.27</v>
      </c>
      <c r="K322">
        <v>95</v>
      </c>
    </row>
    <row r="323" spans="2:11" x14ac:dyDescent="0.3">
      <c r="B323">
        <v>223</v>
      </c>
      <c r="C323" t="s">
        <v>336</v>
      </c>
      <c r="F323">
        <v>555</v>
      </c>
      <c r="H323">
        <v>470.33</v>
      </c>
      <c r="K323">
        <v>96</v>
      </c>
    </row>
    <row r="324" spans="2:11" x14ac:dyDescent="0.3">
      <c r="B324">
        <v>224</v>
      </c>
      <c r="C324" t="s">
        <v>337</v>
      </c>
      <c r="F324">
        <v>110</v>
      </c>
      <c r="H324">
        <v>93.22</v>
      </c>
      <c r="K324">
        <v>97</v>
      </c>
    </row>
    <row r="325" spans="2:11" x14ac:dyDescent="0.3">
      <c r="B325">
        <v>225</v>
      </c>
      <c r="C325" t="s">
        <v>338</v>
      </c>
      <c r="F325">
        <v>124</v>
      </c>
      <c r="H325">
        <v>105.08</v>
      </c>
      <c r="K325">
        <v>98</v>
      </c>
    </row>
    <row r="326" spans="2:11" x14ac:dyDescent="0.3">
      <c r="B326">
        <v>226</v>
      </c>
      <c r="C326" t="s">
        <v>339</v>
      </c>
      <c r="F326">
        <v>5</v>
      </c>
      <c r="H326">
        <v>4.22</v>
      </c>
      <c r="K326">
        <v>99</v>
      </c>
    </row>
    <row r="327" spans="2:11" x14ac:dyDescent="0.3">
      <c r="B327">
        <v>227</v>
      </c>
      <c r="C327" t="s">
        <v>340</v>
      </c>
      <c r="F327">
        <v>1240</v>
      </c>
      <c r="H327">
        <v>525.41999999999996</v>
      </c>
      <c r="K327">
        <v>100</v>
      </c>
    </row>
    <row r="328" spans="2:11" x14ac:dyDescent="0.3">
      <c r="B328">
        <v>228</v>
      </c>
      <c r="C328" t="s">
        <v>340</v>
      </c>
      <c r="F328">
        <v>620</v>
      </c>
    </row>
    <row r="329" spans="2:11" x14ac:dyDescent="0.3">
      <c r="B329">
        <v>229</v>
      </c>
      <c r="C329" t="s">
        <v>341</v>
      </c>
      <c r="F329">
        <v>1598</v>
      </c>
      <c r="H329">
        <v>677.11</v>
      </c>
      <c r="K329">
        <v>101</v>
      </c>
    </row>
    <row r="330" spans="2:11" x14ac:dyDescent="0.3">
      <c r="B330">
        <v>230</v>
      </c>
      <c r="C330" t="s">
        <v>342</v>
      </c>
      <c r="F330">
        <v>2784</v>
      </c>
    </row>
    <row r="331" spans="2:11" x14ac:dyDescent="0.3">
      <c r="B331">
        <v>231</v>
      </c>
      <c r="C331" t="s">
        <v>343</v>
      </c>
      <c r="F331">
        <v>1964</v>
      </c>
    </row>
    <row r="332" spans="2:11" x14ac:dyDescent="0.3">
      <c r="C332" t="s">
        <v>344</v>
      </c>
      <c r="G332">
        <v>39.82</v>
      </c>
      <c r="J332">
        <v>39.82</v>
      </c>
      <c r="K332">
        <v>3</v>
      </c>
    </row>
    <row r="333" spans="2:11" x14ac:dyDescent="0.3">
      <c r="C333" t="s">
        <v>345</v>
      </c>
      <c r="G333">
        <v>84.7</v>
      </c>
      <c r="J333">
        <v>84.7</v>
      </c>
      <c r="K333">
        <v>4</v>
      </c>
    </row>
    <row r="334" spans="2:11" x14ac:dyDescent="0.3">
      <c r="C334" t="s">
        <v>346</v>
      </c>
      <c r="H334">
        <v>50.42</v>
      </c>
      <c r="J334">
        <v>50.42</v>
      </c>
      <c r="K334">
        <v>63</v>
      </c>
    </row>
    <row r="335" spans="2:11" x14ac:dyDescent="0.3">
      <c r="B335" t="s">
        <v>347</v>
      </c>
      <c r="F335" s="6">
        <f>SUM(F101:F331)</f>
        <v>378425.1</v>
      </c>
      <c r="G335" s="6">
        <f>SUM(G101:G331)</f>
        <v>76868.990000000005</v>
      </c>
      <c r="H335" s="6">
        <f>SUM(H101:H331)</f>
        <v>42236</v>
      </c>
      <c r="I335" s="6">
        <f>SUM(I101:I331)</f>
        <v>5211.8599999999997</v>
      </c>
      <c r="J335" s="6">
        <f>SUM(J101:J331)</f>
        <v>325.16999999999996</v>
      </c>
    </row>
    <row r="336" spans="2:11" x14ac:dyDescent="0.3">
      <c r="B336" s="5">
        <v>18</v>
      </c>
      <c r="C336" t="s">
        <v>348</v>
      </c>
      <c r="F336" s="6">
        <f>B146*F145/100</f>
        <v>89.7</v>
      </c>
      <c r="G336" s="6">
        <f>B146*G145/100</f>
        <v>0</v>
      </c>
      <c r="H336" s="6">
        <f>B146*H145/100</f>
        <v>76.015000000000001</v>
      </c>
      <c r="I336" s="6">
        <f>18*I145/100</f>
        <v>0</v>
      </c>
    </row>
    <row r="337" spans="2:9" x14ac:dyDescent="0.3">
      <c r="B337" t="s">
        <v>347</v>
      </c>
      <c r="F337" s="6">
        <f>SUM(F101:F331)</f>
        <v>378425.1</v>
      </c>
      <c r="G337" s="6">
        <f>SUM(G101:G331)</f>
        <v>76868.990000000005</v>
      </c>
      <c r="H337" s="6">
        <f>SUM(H101:H331)</f>
        <v>42236</v>
      </c>
      <c r="I337" s="6">
        <f>SUM(I101:I331)</f>
        <v>5211.8599999999997</v>
      </c>
    </row>
    <row r="338" spans="2:9" x14ac:dyDescent="0.3">
      <c r="B338" t="s">
        <v>349</v>
      </c>
    </row>
    <row r="339" spans="2:9" x14ac:dyDescent="0.3">
      <c r="B339">
        <f>J96</f>
        <v>0</v>
      </c>
      <c r="C339" t="s">
        <v>350</v>
      </c>
      <c r="G339" s="6">
        <f>B149*G147/100</f>
        <v>2219.7392</v>
      </c>
      <c r="H339" s="6">
        <f>H147/2</f>
        <v>0</v>
      </c>
      <c r="I339" s="6">
        <v>0</v>
      </c>
    </row>
    <row r="340" spans="2:9" x14ac:dyDescent="0.3">
      <c r="B340" t="s">
        <v>351</v>
      </c>
      <c r="F340" s="6">
        <f>F147</f>
        <v>5345.5</v>
      </c>
      <c r="G340" s="6">
        <f>G147-G149</f>
        <v>4530.08</v>
      </c>
      <c r="H340" s="6">
        <f>H147-H149</f>
        <v>0</v>
      </c>
      <c r="I340" s="6">
        <f>I147-I149</f>
        <v>0</v>
      </c>
    </row>
    <row r="341" spans="2:9" x14ac:dyDescent="0.3">
      <c r="B341" t="s">
        <v>352</v>
      </c>
      <c r="F341" s="6">
        <f>F150</f>
        <v>94</v>
      </c>
      <c r="G341" s="6">
        <f>G150+H150+I150</f>
        <v>0</v>
      </c>
    </row>
    <row r="343" spans="2:9" x14ac:dyDescent="0.3">
      <c r="B343" t="s">
        <v>353</v>
      </c>
      <c r="G343" s="6">
        <f>G149+H149+J149</f>
        <v>0</v>
      </c>
    </row>
    <row r="345" spans="2:9" x14ac:dyDescent="0.3">
      <c r="B345" t="s">
        <v>354</v>
      </c>
    </row>
    <row r="347" spans="2:9" x14ac:dyDescent="0.3">
      <c r="B347" t="s">
        <v>355</v>
      </c>
      <c r="I347" s="6">
        <v>30000</v>
      </c>
    </row>
    <row r="348" spans="2:9" x14ac:dyDescent="0.3">
      <c r="B348" t="s">
        <v>135</v>
      </c>
      <c r="C348" t="s">
        <v>356</v>
      </c>
      <c r="F348" t="s">
        <v>357</v>
      </c>
      <c r="G348" t="s">
        <v>358</v>
      </c>
      <c r="H348" t="s">
        <v>359</v>
      </c>
      <c r="I348" t="s">
        <v>360</v>
      </c>
    </row>
    <row r="349" spans="2:9" x14ac:dyDescent="0.3">
      <c r="B349">
        <v>1</v>
      </c>
      <c r="C349" t="s">
        <v>361</v>
      </c>
      <c r="F349" s="6">
        <v>0</v>
      </c>
      <c r="G349" s="6">
        <v>50000</v>
      </c>
      <c r="H349" s="6">
        <v>0</v>
      </c>
      <c r="I349" s="6">
        <v>0</v>
      </c>
    </row>
    <row r="350" spans="2:9" x14ac:dyDescent="0.3">
      <c r="B350">
        <v>2</v>
      </c>
      <c r="C350" t="s">
        <v>362</v>
      </c>
      <c r="F350" s="6">
        <v>0</v>
      </c>
      <c r="G350" s="6">
        <v>0</v>
      </c>
      <c r="H350" s="6">
        <v>0</v>
      </c>
      <c r="I350" s="6">
        <v>50000</v>
      </c>
    </row>
    <row r="358" spans="2:9" x14ac:dyDescent="0.3">
      <c r="B358" t="s">
        <v>347</v>
      </c>
      <c r="F358" s="6">
        <f>SUM(F349:F350)</f>
        <v>0</v>
      </c>
      <c r="G358" s="6">
        <f>SUM(G349:G350)</f>
        <v>50000</v>
      </c>
      <c r="H358" s="6">
        <f>SUM(H349:H350)</f>
        <v>0</v>
      </c>
      <c r="I358" s="6">
        <f>SUM(I349:I350)</f>
        <v>50000</v>
      </c>
    </row>
    <row r="359" spans="2:9" x14ac:dyDescent="0.3">
      <c r="B359" t="s">
        <v>363</v>
      </c>
      <c r="I359" s="6">
        <f>25*I168/100</f>
        <v>0</v>
      </c>
    </row>
    <row r="360" spans="2:9" x14ac:dyDescent="0.3">
      <c r="B360" t="s">
        <v>347</v>
      </c>
      <c r="F360" s="6">
        <f>F168</f>
        <v>313</v>
      </c>
      <c r="G360" s="6">
        <f>G168</f>
        <v>0</v>
      </c>
      <c r="H360" s="6">
        <f>H168</f>
        <v>265.25</v>
      </c>
      <c r="I360" s="6">
        <f>I168-I169</f>
        <v>0</v>
      </c>
    </row>
    <row r="361" spans="2:9" x14ac:dyDescent="0.3">
      <c r="D361" t="s">
        <v>364</v>
      </c>
      <c r="H361" s="6">
        <f>F170+G170+H170+I170</f>
        <v>16.62</v>
      </c>
    </row>
    <row r="363" spans="2:9" x14ac:dyDescent="0.3">
      <c r="B363" t="s">
        <v>365</v>
      </c>
      <c r="H363" s="6" t="s">
        <v>136</v>
      </c>
      <c r="I363" s="6" t="s">
        <v>366</v>
      </c>
    </row>
    <row r="364" spans="2:9" x14ac:dyDescent="0.3">
      <c r="H364" s="6">
        <f>I157</f>
        <v>0</v>
      </c>
      <c r="I364" s="6">
        <f>H171</f>
        <v>254.23</v>
      </c>
    </row>
    <row r="365" spans="2:9" x14ac:dyDescent="0.3">
      <c r="B365" s="5">
        <f>J97</f>
        <v>18</v>
      </c>
      <c r="C365" t="s">
        <v>348</v>
      </c>
      <c r="H365" s="6">
        <f>B175*H174/100</f>
        <v>0</v>
      </c>
      <c r="I365" s="6">
        <f>B175*I174/100</f>
        <v>0</v>
      </c>
    </row>
    <row r="366" spans="2:9" x14ac:dyDescent="0.3">
      <c r="B366" t="s">
        <v>367</v>
      </c>
      <c r="H366" s="6">
        <f>H174+H175</f>
        <v>0</v>
      </c>
      <c r="I366" s="6">
        <f>I174+I175</f>
        <v>0</v>
      </c>
    </row>
    <row r="368" spans="2:9" x14ac:dyDescent="0.3">
      <c r="B368" t="s">
        <v>368</v>
      </c>
      <c r="G368" s="6">
        <f>I176</f>
        <v>0</v>
      </c>
    </row>
    <row r="370" spans="2:11" x14ac:dyDescent="0.3">
      <c r="B370" t="s">
        <v>369</v>
      </c>
      <c r="F370" t="s">
        <v>136</v>
      </c>
      <c r="G370" t="s">
        <v>366</v>
      </c>
    </row>
    <row r="371" spans="2:11" x14ac:dyDescent="0.3">
      <c r="B371" t="s">
        <v>370</v>
      </c>
      <c r="F371" s="6">
        <f>F151</f>
        <v>90</v>
      </c>
      <c r="G371" s="6">
        <f>G151</f>
        <v>0</v>
      </c>
    </row>
    <row r="372" spans="2:11" x14ac:dyDescent="0.3">
      <c r="B372" t="s">
        <v>371</v>
      </c>
      <c r="F372" s="6">
        <f>H176</f>
        <v>0</v>
      </c>
      <c r="G372" s="6">
        <f>G178</f>
        <v>0</v>
      </c>
    </row>
    <row r="373" spans="2:11" x14ac:dyDescent="0.3">
      <c r="B373" t="s">
        <v>347</v>
      </c>
      <c r="F373" s="6">
        <f>F181+F182</f>
        <v>865</v>
      </c>
      <c r="G373" s="6">
        <f>G181+G182</f>
        <v>0</v>
      </c>
    </row>
    <row r="374" spans="2:11" x14ac:dyDescent="0.3">
      <c r="B374" t="s">
        <v>372</v>
      </c>
      <c r="G374" s="6">
        <f>J95</f>
        <v>1000</v>
      </c>
    </row>
    <row r="375" spans="2:11" x14ac:dyDescent="0.3">
      <c r="B375" t="s">
        <v>373</v>
      </c>
      <c r="F375" s="6">
        <f>F183</f>
        <v>1332</v>
      </c>
      <c r="G375" s="6">
        <f>G183-G184</f>
        <v>269.4899999999999</v>
      </c>
    </row>
    <row r="377" spans="2:11" x14ac:dyDescent="0.3">
      <c r="B377" t="s">
        <v>374</v>
      </c>
      <c r="G377" s="6">
        <v>1100</v>
      </c>
    </row>
    <row r="378" spans="2:11" x14ac:dyDescent="0.3">
      <c r="B378" t="s">
        <v>375</v>
      </c>
      <c r="G378" s="6">
        <f>G185-G187</f>
        <v>59.32</v>
      </c>
    </row>
    <row r="380" spans="2:11" x14ac:dyDescent="0.3">
      <c r="B380" s="12" t="s">
        <v>376</v>
      </c>
      <c r="C380" s="12"/>
      <c r="D380" s="12"/>
      <c r="E380" s="12"/>
      <c r="F380" s="12"/>
      <c r="G380" s="12"/>
      <c r="H380" s="12"/>
      <c r="I380" s="12"/>
      <c r="J380" s="12"/>
      <c r="K380" s="12"/>
    </row>
    <row r="382" spans="2:11" x14ac:dyDescent="0.3">
      <c r="C382" t="s">
        <v>377</v>
      </c>
      <c r="J382" t="s">
        <v>378</v>
      </c>
    </row>
    <row r="384" spans="2:11" x14ac:dyDescent="0.3">
      <c r="C384" t="s">
        <v>379</v>
      </c>
    </row>
    <row r="437" spans="2:5" x14ac:dyDescent="0.3">
      <c r="C437" t="s">
        <v>380</v>
      </c>
      <c r="E437" s="3">
        <v>41304</v>
      </c>
    </row>
    <row r="438" spans="2:5" x14ac:dyDescent="0.3">
      <c r="C438" t="s">
        <v>94</v>
      </c>
      <c r="E438" s="3">
        <v>45095</v>
      </c>
    </row>
    <row r="440" spans="2:5" x14ac:dyDescent="0.3">
      <c r="E440" s="4">
        <f>DAYS360(E247,E248,0)/360</f>
        <v>0</v>
      </c>
    </row>
    <row r="443" spans="2:5" x14ac:dyDescent="0.3">
      <c r="C443" s="8" t="s">
        <v>457</v>
      </c>
      <c r="D443" s="7" t="s">
        <v>454</v>
      </c>
    </row>
    <row r="445" spans="2:5" x14ac:dyDescent="0.3">
      <c r="B445" s="8"/>
      <c r="C445" s="8" t="s">
        <v>453</v>
      </c>
      <c r="D445" s="7" t="s">
        <v>450</v>
      </c>
    </row>
    <row r="446" spans="2:5" x14ac:dyDescent="0.3">
      <c r="B446" s="8"/>
      <c r="C446" s="8" t="s">
        <v>451</v>
      </c>
      <c r="D446" s="8" t="s">
        <v>452</v>
      </c>
    </row>
    <row r="449" spans="3:4" ht="16.2" thickBot="1" x14ac:dyDescent="0.35"/>
    <row r="450" spans="3:4" ht="28.2" thickBot="1" x14ac:dyDescent="0.35">
      <c r="C450" s="9" t="s">
        <v>455</v>
      </c>
      <c r="D450" s="9" t="s">
        <v>456</v>
      </c>
    </row>
  </sheetData>
  <mergeCells count="9">
    <mergeCell ref="B11:K11"/>
    <mergeCell ref="B380:K380"/>
    <mergeCell ref="I29:J29"/>
    <mergeCell ref="G28:H28"/>
    <mergeCell ref="G29:H29"/>
    <mergeCell ref="I28:J28"/>
    <mergeCell ref="C80:K80"/>
    <mergeCell ref="C77:K77"/>
    <mergeCell ref="C91:K91"/>
  </mergeCells>
  <pageMargins left="0.25" right="0.25" top="0.5" bottom="0.5" header="0" footer="0"/>
  <ignoredErrors>
    <ignoredError sqref="A2:Y41 A101:Y442 A100:B100 D100:Y100 A447:Y449 A445 E445:Y445 A446 E446:Y446 A444:Y444 A443:B443 E443:Y443 A451:Y1208 A450:B450 E450:Y450 A51:Y61 A50:B50 D50:Y50 A49:Y49 A48:B48 D48:Y48 A63:Y79 A62:B62 H62 K62:Y62 A43:Y47 A42:F42 H42:Y42 D62:F62 A81:Y99 A80:B80 D80:Y8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52"/>
  <sheetViews>
    <sheetView workbookViewId="0"/>
  </sheetViews>
  <sheetFormatPr defaultRowHeight="15.6" x14ac:dyDescent="0.3"/>
  <sheetData>
    <row r="3" spans="2:7" ht="18.75" customHeight="1" x14ac:dyDescent="0.3">
      <c r="G3" t="s">
        <v>381</v>
      </c>
    </row>
    <row r="4" spans="2:7" ht="12.75" customHeight="1" x14ac:dyDescent="0.3"/>
    <row r="5" spans="2:7" ht="12.75" customHeight="1" x14ac:dyDescent="0.3"/>
    <row r="6" spans="2:7" ht="12.75" customHeight="1" x14ac:dyDescent="0.3"/>
    <row r="7" spans="2:7" ht="15.75" customHeight="1" x14ac:dyDescent="0.3">
      <c r="B7" t="s">
        <v>382</v>
      </c>
      <c r="F7" t="s">
        <v>15</v>
      </c>
    </row>
    <row r="8" spans="2:7" ht="15.75" customHeight="1" x14ac:dyDescent="0.3">
      <c r="B8" t="s">
        <v>17</v>
      </c>
      <c r="F8" t="s">
        <v>383</v>
      </c>
    </row>
    <row r="9" spans="2:7" ht="15.75" customHeight="1" x14ac:dyDescent="0.3">
      <c r="F9">
        <f>Sheet1!G15</f>
        <v>0</v>
      </c>
    </row>
    <row r="10" spans="2:7" ht="15.75" customHeight="1" x14ac:dyDescent="0.3"/>
    <row r="11" spans="2:7" ht="15.75" customHeight="1" x14ac:dyDescent="0.3"/>
    <row r="12" spans="2:7" ht="15.75" customHeight="1" x14ac:dyDescent="0.3">
      <c r="B12" t="s">
        <v>26</v>
      </c>
      <c r="F12" t="s">
        <v>27</v>
      </c>
    </row>
    <row r="13" spans="2:7" ht="15.75" customHeight="1" x14ac:dyDescent="0.3"/>
    <row r="14" spans="2:7" ht="15.75" customHeight="1" x14ac:dyDescent="0.3">
      <c r="B14" t="s">
        <v>384</v>
      </c>
      <c r="F14" t="s">
        <v>385</v>
      </c>
    </row>
    <row r="15" spans="2:7" ht="15.75" customHeight="1" x14ac:dyDescent="0.3"/>
    <row r="16" spans="2:7" ht="15.75" customHeight="1" x14ac:dyDescent="0.3">
      <c r="B16" t="s">
        <v>386</v>
      </c>
      <c r="F16" t="s">
        <v>23</v>
      </c>
    </row>
    <row r="17" spans="2:6" ht="15.75" customHeight="1" x14ac:dyDescent="0.3"/>
    <row r="18" spans="2:6" ht="15.75" customHeight="1" x14ac:dyDescent="0.3">
      <c r="B18" t="s">
        <v>387</v>
      </c>
      <c r="F18" t="s">
        <v>25</v>
      </c>
    </row>
    <row r="19" spans="2:6" ht="15.75" customHeight="1" x14ac:dyDescent="0.3"/>
    <row r="20" spans="2:6" ht="15.75" customHeight="1" x14ac:dyDescent="0.3">
      <c r="B20" t="s">
        <v>388</v>
      </c>
      <c r="F20" s="3" t="s">
        <v>389</v>
      </c>
    </row>
    <row r="21" spans="2:6" ht="15.75" customHeight="1" x14ac:dyDescent="0.3"/>
    <row r="22" spans="2:6" ht="12.75" customHeight="1" x14ac:dyDescent="0.3"/>
    <row r="23" spans="2:6" ht="12.75" customHeight="1" x14ac:dyDescent="0.3"/>
    <row r="24" spans="2:6" ht="12.75" customHeight="1" x14ac:dyDescent="0.3"/>
    <row r="25" spans="2:6" ht="12.75" customHeight="1" x14ac:dyDescent="0.3"/>
    <row r="26" spans="2:6" ht="12.75" customHeight="1" x14ac:dyDescent="0.3"/>
    <row r="27" spans="2:6" ht="12.75" customHeight="1" x14ac:dyDescent="0.3"/>
    <row r="28" spans="2:6" ht="15.75" customHeight="1" x14ac:dyDescent="0.3">
      <c r="B28" t="s">
        <v>390</v>
      </c>
    </row>
    <row r="29" spans="2:6" ht="12.75" customHeight="1" x14ac:dyDescent="0.3"/>
    <row r="30" spans="2:6" ht="12.75" customHeight="1" x14ac:dyDescent="0.3"/>
    <row r="31" spans="2:6" ht="12.75" customHeight="1" x14ac:dyDescent="0.3"/>
    <row r="32" spans="2:6" ht="12.75" customHeight="1" x14ac:dyDescent="0.3"/>
    <row r="33" spans="2:7" ht="12.75" customHeight="1" x14ac:dyDescent="0.3"/>
    <row r="34" spans="2:7" ht="12.75" customHeight="1" x14ac:dyDescent="0.3"/>
    <row r="35" spans="2:7" ht="12.75" customHeight="1" x14ac:dyDescent="0.3"/>
    <row r="36" spans="2:7" ht="12.75" customHeight="1" x14ac:dyDescent="0.3"/>
    <row r="37" spans="2:7" ht="12.75" customHeight="1" x14ac:dyDescent="0.3"/>
    <row r="38" spans="2:7" ht="12.75" customHeight="1" x14ac:dyDescent="0.3"/>
    <row r="39" spans="2:7" ht="12.75" customHeight="1" x14ac:dyDescent="0.3"/>
    <row r="40" spans="2:7" ht="12.75" customHeight="1" x14ac:dyDescent="0.3"/>
    <row r="41" spans="2:7" ht="12.75" customHeight="1" x14ac:dyDescent="0.3"/>
    <row r="42" spans="2:7" ht="12.75" customHeight="1" x14ac:dyDescent="0.3"/>
    <row r="43" spans="2:7" ht="12.75" customHeight="1" x14ac:dyDescent="0.3"/>
    <row r="44" spans="2:7" ht="12.75" customHeight="1" x14ac:dyDescent="0.3">
      <c r="B44" t="s">
        <v>391</v>
      </c>
    </row>
    <row r="45" spans="2:7" ht="12.75" customHeight="1" x14ac:dyDescent="0.3"/>
    <row r="46" spans="2:7" ht="13.5" customHeight="1" x14ac:dyDescent="0.3"/>
    <row r="47" spans="2:7" ht="12.75" customHeight="1" x14ac:dyDescent="0.3"/>
    <row r="48" spans="2:7" ht="14.25" customHeight="1" x14ac:dyDescent="0.3">
      <c r="B48" t="s">
        <v>0</v>
      </c>
      <c r="G48" t="s">
        <v>392</v>
      </c>
    </row>
    <row r="49" spans="2:7" ht="12.75" customHeight="1" x14ac:dyDescent="0.3">
      <c r="B49" t="s">
        <v>2</v>
      </c>
      <c r="G49" t="s">
        <v>393</v>
      </c>
    </row>
    <row r="50" spans="2:7" ht="12.75" customHeight="1" x14ac:dyDescent="0.3">
      <c r="B50" t="s">
        <v>4</v>
      </c>
      <c r="G50" t="s">
        <v>394</v>
      </c>
    </row>
    <row r="51" spans="2:7" ht="12.75" customHeight="1" x14ac:dyDescent="0.3">
      <c r="B51" t="s">
        <v>6</v>
      </c>
      <c r="G51" t="s">
        <v>395</v>
      </c>
    </row>
    <row r="52" spans="2:7" ht="12.75" customHeight="1" x14ac:dyDescent="0.3"/>
  </sheetData>
  <pageMargins left="0.95" right="0.2" top="0.75" bottom="0.5" header="0.3" footer="0.3"/>
  <ignoredErrors>
    <ignoredError sqref="A1:L5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L55"/>
  <sheetViews>
    <sheetView workbookViewId="0"/>
  </sheetViews>
  <sheetFormatPr defaultColWidth="9.3984375" defaultRowHeight="15.6" x14ac:dyDescent="0.3"/>
  <cols>
    <col min="1" max="1" width="3.8984375" customWidth="1"/>
    <col min="2" max="2" width="4.5" customWidth="1"/>
    <col min="3" max="4" width="9.3984375" customWidth="1"/>
    <col min="5" max="5" width="10" customWidth="1"/>
    <col min="6" max="6" width="13.59765625" customWidth="1"/>
    <col min="7" max="8" width="11" customWidth="1"/>
    <col min="9" max="10" width="9.3984375" customWidth="1"/>
    <col min="11" max="11" width="6.3984375" customWidth="1"/>
    <col min="12" max="12" width="14.8984375" customWidth="1"/>
    <col min="13" max="13" width="6.09765625" customWidth="1"/>
    <col min="14" max="14" width="9.3984375" customWidth="1"/>
  </cols>
  <sheetData>
    <row r="3" spans="3:12" ht="14.25" customHeight="1" x14ac:dyDescent="0.3">
      <c r="C3" t="s">
        <v>0</v>
      </c>
      <c r="J3" t="s">
        <v>396</v>
      </c>
    </row>
    <row r="4" spans="3:12" x14ac:dyDescent="0.3">
      <c r="C4" t="s">
        <v>2</v>
      </c>
      <c r="J4" t="s">
        <v>3</v>
      </c>
    </row>
    <row r="5" spans="3:12" x14ac:dyDescent="0.3">
      <c r="C5" t="s">
        <v>397</v>
      </c>
      <c r="J5" t="s">
        <v>5</v>
      </c>
    </row>
    <row r="6" spans="3:12" x14ac:dyDescent="0.3">
      <c r="C6" t="s">
        <v>6</v>
      </c>
      <c r="J6" t="s">
        <v>398</v>
      </c>
    </row>
    <row r="7" spans="3:12" ht="3" customHeight="1" x14ac:dyDescent="0.3"/>
    <row r="10" spans="3:12" x14ac:dyDescent="0.3">
      <c r="C10" t="s">
        <v>8</v>
      </c>
      <c r="D10" t="s">
        <v>9</v>
      </c>
      <c r="K10" t="s">
        <v>10</v>
      </c>
      <c r="L10" s="3">
        <f>Sheet1!K8</f>
        <v>0</v>
      </c>
    </row>
    <row r="12" spans="3:12" ht="14.25" customHeight="1" x14ac:dyDescent="0.3">
      <c r="F12" t="s">
        <v>399</v>
      </c>
    </row>
    <row r="13" spans="3:12" ht="14.25" customHeight="1" x14ac:dyDescent="0.3"/>
    <row r="15" spans="3:12" x14ac:dyDescent="0.3">
      <c r="C15" t="s">
        <v>26</v>
      </c>
      <c r="F15" t="s">
        <v>27</v>
      </c>
      <c r="G15" t="str">
        <f>Sheet1!G18</f>
        <v>MR BALKAR SINGH</v>
      </c>
    </row>
    <row r="16" spans="3:12" x14ac:dyDescent="0.3">
      <c r="G16" t="str">
        <f>Sheet1!G19</f>
        <v>H NO B-9/939 W NO 20 KOTKAPURA SURG, PURI NEAR GOVT SCHOOL, FARIDKOT, PB, 151204</v>
      </c>
    </row>
    <row r="18" spans="2:11" x14ac:dyDescent="0.3">
      <c r="C18" t="s">
        <v>13</v>
      </c>
      <c r="F18" t="s">
        <v>15</v>
      </c>
      <c r="G18" t="str">
        <f>Sheet1!G13</f>
        <v>UNITED INDIA INSURANCE CO. LTD.</v>
      </c>
    </row>
    <row r="19" spans="2:11" x14ac:dyDescent="0.3">
      <c r="G19" t="str">
        <f>Sheet1!G14</f>
        <v>NEAR GOVT HIGH SCHOOL, HANDLOOM STREET SURGAPURI KOTKAPURA, DISTT.FARIDKOT KOTKAPURA, FARIDKOT, PB 151204</v>
      </c>
    </row>
    <row r="20" spans="2:11" x14ac:dyDescent="0.3">
      <c r="B20" t="s">
        <v>400</v>
      </c>
      <c r="G20">
        <f>Sheet1!G15</f>
        <v>0</v>
      </c>
    </row>
    <row r="22" spans="2:11" x14ac:dyDescent="0.3">
      <c r="C22" t="s">
        <v>401</v>
      </c>
      <c r="F22" t="s">
        <v>385</v>
      </c>
      <c r="G22" t="str">
        <f>Sheet1!G25</f>
        <v>PB03BH1786 / RTO: RTO FEROZ</v>
      </c>
    </row>
    <row r="23" spans="2:11" x14ac:dyDescent="0.3">
      <c r="C23" t="s">
        <v>47</v>
      </c>
      <c r="F23" t="s">
        <v>48</v>
      </c>
      <c r="G23" t="str">
        <f>Sheet1!G30</f>
        <v>MARUTI SUZUKI / ERTIGA SMART HYBRID VXI 1.5L SMT</v>
      </c>
    </row>
    <row r="25" spans="2:11" x14ac:dyDescent="0.3">
      <c r="C25" t="s">
        <v>402</v>
      </c>
      <c r="F25" t="s">
        <v>23</v>
      </c>
      <c r="G25" t="str">
        <f>Sheet1!G16</f>
        <v>2012823125P111997595</v>
      </c>
      <c r="J25" t="s">
        <v>24</v>
      </c>
      <c r="K25">
        <f>Sheet1!J16</f>
        <v>0</v>
      </c>
    </row>
    <row r="26" spans="2:11" ht="9" customHeight="1" x14ac:dyDescent="0.3"/>
    <row r="27" spans="2:11" ht="9" customHeight="1" x14ac:dyDescent="0.3"/>
    <row r="28" spans="2:11" x14ac:dyDescent="0.3">
      <c r="C28" t="s">
        <v>403</v>
      </c>
      <c r="G28" t="s">
        <v>404</v>
      </c>
      <c r="H28" s="6">
        <v>1800</v>
      </c>
    </row>
    <row r="30" spans="2:11" x14ac:dyDescent="0.3">
      <c r="C30" t="s">
        <v>405</v>
      </c>
      <c r="G30" t="s">
        <v>404</v>
      </c>
      <c r="H30" s="6">
        <v>500</v>
      </c>
    </row>
    <row r="32" spans="2:11" x14ac:dyDescent="0.3">
      <c r="C32" t="s">
        <v>406</v>
      </c>
      <c r="E32" t="s">
        <v>407</v>
      </c>
      <c r="G32" t="s">
        <v>404</v>
      </c>
      <c r="H32" s="6">
        <v>120</v>
      </c>
    </row>
    <row r="33" spans="3:10" x14ac:dyDescent="0.3">
      <c r="C33" t="s">
        <v>408</v>
      </c>
    </row>
    <row r="35" spans="3:10" x14ac:dyDescent="0.3">
      <c r="C35" t="s">
        <v>409</v>
      </c>
      <c r="G35" t="s">
        <v>404</v>
      </c>
      <c r="H35" s="6">
        <v>0</v>
      </c>
    </row>
    <row r="37" spans="3:10" x14ac:dyDescent="0.3">
      <c r="C37" t="s">
        <v>410</v>
      </c>
      <c r="G37" t="s">
        <v>404</v>
      </c>
      <c r="H37" s="6">
        <v>0</v>
      </c>
    </row>
    <row r="38" spans="3:10" x14ac:dyDescent="0.3">
      <c r="H38" t="s">
        <v>411</v>
      </c>
    </row>
    <row r="39" spans="3:10" x14ac:dyDescent="0.3">
      <c r="F39" t="s">
        <v>412</v>
      </c>
      <c r="G39" t="s">
        <v>404</v>
      </c>
      <c r="H39" s="6">
        <f>SUM(H28:H37)</f>
        <v>2420</v>
      </c>
    </row>
    <row r="40" spans="3:10" x14ac:dyDescent="0.3">
      <c r="H40" t="s">
        <v>411</v>
      </c>
    </row>
    <row r="44" spans="3:10" ht="15.75" customHeight="1" x14ac:dyDescent="0.3">
      <c r="C44" t="s">
        <v>413</v>
      </c>
      <c r="E44" t="s">
        <v>414</v>
      </c>
    </row>
    <row r="47" spans="3:10" ht="13.5" customHeight="1" x14ac:dyDescent="0.3"/>
    <row r="48" spans="3:10" x14ac:dyDescent="0.3">
      <c r="C48" t="s">
        <v>415</v>
      </c>
      <c r="J48" t="s">
        <v>416</v>
      </c>
    </row>
    <row r="50" spans="3:5" x14ac:dyDescent="0.3">
      <c r="C50" t="s">
        <v>417</v>
      </c>
    </row>
    <row r="51" spans="3:5" x14ac:dyDescent="0.3">
      <c r="C51" t="s">
        <v>418</v>
      </c>
      <c r="E51" t="s">
        <v>419</v>
      </c>
    </row>
    <row r="52" spans="3:5" x14ac:dyDescent="0.3">
      <c r="C52" t="s">
        <v>420</v>
      </c>
      <c r="E52" t="s">
        <v>421</v>
      </c>
    </row>
    <row r="53" spans="3:5" x14ac:dyDescent="0.3">
      <c r="C53" t="s">
        <v>422</v>
      </c>
      <c r="E53" t="s">
        <v>423</v>
      </c>
    </row>
    <row r="54" spans="3:5" x14ac:dyDescent="0.3">
      <c r="C54" t="s">
        <v>424</v>
      </c>
      <c r="E54" t="s">
        <v>425</v>
      </c>
    </row>
    <row r="55" spans="3:5" ht="13.5" customHeight="1" x14ac:dyDescent="0.3">
      <c r="C55" t="s">
        <v>426</v>
      </c>
      <c r="E55" t="s">
        <v>427</v>
      </c>
    </row>
  </sheetData>
  <pageMargins left="0.45" right="0.45" top="0.5" bottom="0.5" header="0.3" footer="0.3"/>
  <ignoredErrors>
    <ignoredError sqref="B1:M5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F25"/>
  <sheetViews>
    <sheetView workbookViewId="0"/>
  </sheetViews>
  <sheetFormatPr defaultColWidth="9.3984375" defaultRowHeight="15.6" x14ac:dyDescent="0.3"/>
  <cols>
    <col min="1" max="1" width="7.59765625" customWidth="1"/>
    <col min="2" max="2" width="32.5" customWidth="1"/>
    <col min="3" max="3" width="17.09765625" customWidth="1"/>
    <col min="4" max="4" width="22.59765625" customWidth="1"/>
    <col min="5" max="5" width="9.59765625" customWidth="1"/>
    <col min="6" max="6" width="14.59765625" customWidth="1"/>
    <col min="7" max="7" width="9.3984375" customWidth="1"/>
    <col min="8" max="8" width="12.5" customWidth="1"/>
    <col min="9" max="9" width="9.3984375" customWidth="1"/>
  </cols>
  <sheetData>
    <row r="4" spans="2:6" x14ac:dyDescent="0.3">
      <c r="B4" s="12" t="s">
        <v>428</v>
      </c>
      <c r="C4" s="12"/>
      <c r="D4" s="12"/>
      <c r="E4" s="12"/>
      <c r="F4" s="12"/>
    </row>
    <row r="6" spans="2:6" ht="30" customHeight="1" x14ac:dyDescent="0.3">
      <c r="B6" t="s">
        <v>429</v>
      </c>
      <c r="D6" t="s">
        <v>430</v>
      </c>
      <c r="E6" t="s">
        <v>431</v>
      </c>
      <c r="F6" t="s">
        <v>432</v>
      </c>
    </row>
    <row r="7" spans="2:6" x14ac:dyDescent="0.3">
      <c r="B7" t="s">
        <v>433</v>
      </c>
      <c r="D7" s="6">
        <f>Sheet1!I174</f>
        <v>0</v>
      </c>
      <c r="E7">
        <v>18</v>
      </c>
      <c r="F7" s="6">
        <f t="shared" ref="F7:F15" si="0">D7*E7/100</f>
        <v>0</v>
      </c>
    </row>
    <row r="8" spans="2:6" x14ac:dyDescent="0.3">
      <c r="B8" t="s">
        <v>434</v>
      </c>
      <c r="D8" s="6">
        <f>Sheet1!G145</f>
        <v>0</v>
      </c>
      <c r="E8">
        <v>28</v>
      </c>
      <c r="F8" s="6">
        <f t="shared" si="0"/>
        <v>0</v>
      </c>
    </row>
    <row r="9" spans="2:6" x14ac:dyDescent="0.3">
      <c r="B9" t="s">
        <v>434</v>
      </c>
      <c r="D9">
        <v>0</v>
      </c>
      <c r="E9">
        <v>18</v>
      </c>
      <c r="F9" s="6">
        <f t="shared" si="0"/>
        <v>0</v>
      </c>
    </row>
    <row r="10" spans="2:6" x14ac:dyDescent="0.3">
      <c r="B10" t="s">
        <v>435</v>
      </c>
      <c r="D10" s="6">
        <f>Sheet1!I145</f>
        <v>0</v>
      </c>
      <c r="E10">
        <v>18</v>
      </c>
      <c r="F10" s="6">
        <f t="shared" si="0"/>
        <v>0</v>
      </c>
    </row>
    <row r="11" spans="2:6" x14ac:dyDescent="0.3">
      <c r="B11" t="s">
        <v>138</v>
      </c>
      <c r="D11" s="6">
        <f>Sheet1!H145</f>
        <v>165.25</v>
      </c>
      <c r="E11">
        <v>28</v>
      </c>
      <c r="F11" s="6">
        <f t="shared" si="0"/>
        <v>46.27</v>
      </c>
    </row>
    <row r="12" spans="2:6" x14ac:dyDescent="0.3">
      <c r="B12" t="s">
        <v>139</v>
      </c>
      <c r="D12" s="6">
        <f>Sheet1!J145</f>
        <v>0</v>
      </c>
      <c r="E12">
        <v>18</v>
      </c>
      <c r="F12" s="6">
        <f t="shared" si="0"/>
        <v>0</v>
      </c>
    </row>
    <row r="13" spans="2:6" x14ac:dyDescent="0.3">
      <c r="B13" t="s">
        <v>436</v>
      </c>
      <c r="D13">
        <v>0</v>
      </c>
      <c r="E13">
        <v>0</v>
      </c>
      <c r="F13" s="6">
        <f t="shared" si="0"/>
        <v>0</v>
      </c>
    </row>
    <row r="14" spans="2:6" x14ac:dyDescent="0.3">
      <c r="B14" t="s">
        <v>437</v>
      </c>
      <c r="D14" s="6">
        <f>-Sheet1!G184</f>
        <v>-859.32</v>
      </c>
      <c r="E14">
        <v>18</v>
      </c>
      <c r="F14" s="6">
        <f t="shared" si="0"/>
        <v>-154.67760000000001</v>
      </c>
    </row>
    <row r="15" spans="2:6" x14ac:dyDescent="0.3">
      <c r="B15" t="s">
        <v>438</v>
      </c>
      <c r="D15" s="6">
        <f>-Sheet1!G187</f>
        <v>0</v>
      </c>
      <c r="E15">
        <v>18</v>
      </c>
      <c r="F15" s="6">
        <f t="shared" si="0"/>
        <v>0</v>
      </c>
    </row>
    <row r="16" spans="2:6" x14ac:dyDescent="0.3">
      <c r="C16" t="s">
        <v>439</v>
      </c>
      <c r="D16" s="6">
        <f>D7+D8+D9+D10+D11+D12+D13+D14+D15</f>
        <v>-694.07</v>
      </c>
      <c r="F16" s="6">
        <v>0</v>
      </c>
    </row>
    <row r="17" spans="2:6" x14ac:dyDescent="0.3">
      <c r="C17" t="s">
        <v>440</v>
      </c>
      <c r="D17">
        <v>180</v>
      </c>
    </row>
    <row r="18" spans="2:6" x14ac:dyDescent="0.3">
      <c r="C18" t="s">
        <v>441</v>
      </c>
      <c r="D18">
        <v>9</v>
      </c>
    </row>
    <row r="19" spans="2:6" x14ac:dyDescent="0.3">
      <c r="C19" t="s">
        <v>442</v>
      </c>
      <c r="D19" s="6">
        <f>D16+D17+D18</f>
        <v>-505.07000000000005</v>
      </c>
      <c r="F19" s="6">
        <v>0</v>
      </c>
    </row>
    <row r="20" spans="2:6" ht="30" customHeight="1" x14ac:dyDescent="0.3">
      <c r="B20" t="s">
        <v>443</v>
      </c>
      <c r="F20" s="6">
        <f>SUM(F7:F19)</f>
        <v>-108.4076</v>
      </c>
    </row>
    <row r="21" spans="2:6" x14ac:dyDescent="0.3">
      <c r="C21" t="s">
        <v>444</v>
      </c>
      <c r="F21" t="s">
        <v>445</v>
      </c>
    </row>
    <row r="22" spans="2:6" x14ac:dyDescent="0.3">
      <c r="C22" s="6">
        <f>D19</f>
        <v>-505.07000000000005</v>
      </c>
      <c r="F22">
        <f>F20</f>
        <v>-108.4076</v>
      </c>
    </row>
    <row r="23" spans="2:6" x14ac:dyDescent="0.3">
      <c r="B23" t="s">
        <v>446</v>
      </c>
      <c r="E23" t="s">
        <v>447</v>
      </c>
      <c r="F23" s="6">
        <f>C22</f>
        <v>-505.07000000000005</v>
      </c>
    </row>
    <row r="24" spans="2:6" ht="31.5" customHeight="1" x14ac:dyDescent="0.3">
      <c r="B24" t="s">
        <v>443</v>
      </c>
      <c r="E24" t="s">
        <v>447</v>
      </c>
      <c r="F24">
        <f>F22</f>
        <v>-108.4076</v>
      </c>
    </row>
    <row r="25" spans="2:6" x14ac:dyDescent="0.3">
      <c r="B25" t="s">
        <v>448</v>
      </c>
      <c r="E25" t="s">
        <v>447</v>
      </c>
      <c r="F25" s="6">
        <f>F23+F24</f>
        <v>-613.47760000000005</v>
      </c>
    </row>
  </sheetData>
  <mergeCells count="1">
    <mergeCell ref="B4:F4"/>
  </mergeCells>
  <pageMargins left="0.45" right="0.45" top="0.75" bottom="0.75" header="0.3" footer="0.3"/>
  <ignoredErrors>
    <ignoredError sqref="B4:I2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jaswinder</dc:creator>
  <cp:lastModifiedBy>DHIRAJ JADAV</cp:lastModifiedBy>
  <cp:lastPrinted>2021-09-30T03:17:16Z</cp:lastPrinted>
  <dcterms:created xsi:type="dcterms:W3CDTF">2004-04-03T11:14:20Z</dcterms:created>
  <dcterms:modified xsi:type="dcterms:W3CDTF">2026-05-26T06:20:34Z</dcterms:modified>
</cp:coreProperties>
</file>