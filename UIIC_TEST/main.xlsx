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jadav\Coding\uiic_automation\UIIC_TEST\"/>
    </mc:Choice>
  </mc:AlternateContent>
  <xr:revisionPtr revIDLastSave="0" documentId="13_ncr:1_{22C8B2A1-452B-462A-888C-1EC089CE50FA}" xr6:coauthVersionLast="47" xr6:coauthVersionMax="47" xr10:uidLastSave="{00000000-0000-0000-0000-000000000000}"/>
  <bookViews>
    <workbookView xWindow="-108" yWindow="-108" windowWidth="23256" windowHeight="13176" xr2:uid="{00000000-000D-0000-FFFF-FFFF00000000}"/>
  </bookViews>
  <sheets>
    <sheet name="Survey report" sheetId="1" r:id="rId1"/>
    <sheet name="Survey fee Bill" sheetId="3" r:id="rId2"/>
    <sheet name="Re-inspection" sheetId="5" r:id="rId3"/>
    <sheet name="Total Loss" sheetId="6" r:id="rId4"/>
    <sheet name="Appraisal" sheetId="7" r:id="rId5"/>
  </sheets>
  <definedNames>
    <definedName name="_xlnm.Print_Area" localSheetId="4">Appraisal!$A$1:$K$58</definedName>
    <definedName name="_xlnm.Print_Area" localSheetId="0">'Survey report'!$A$1:$K$363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7" l="1"/>
  <c r="I32" i="7"/>
  <c r="H19" i="7"/>
  <c r="H17" i="7"/>
  <c r="H13" i="7"/>
  <c r="H11" i="7"/>
  <c r="H9" i="7"/>
  <c r="I7" i="7"/>
  <c r="I6" i="7"/>
  <c r="E6" i="7"/>
  <c r="I5" i="7"/>
  <c r="E5" i="7"/>
  <c r="E4" i="7"/>
  <c r="I47" i="6"/>
  <c r="I45" i="6"/>
  <c r="I27" i="6"/>
  <c r="I29" i="6" s="1"/>
  <c r="I30" i="6" s="1"/>
  <c r="I24" i="6"/>
  <c r="I22" i="6"/>
  <c r="J6" i="6"/>
  <c r="I4" i="6"/>
  <c r="B4" i="6"/>
  <c r="I3" i="6"/>
  <c r="B3" i="6"/>
  <c r="I2" i="6"/>
  <c r="B2" i="6"/>
  <c r="I1" i="6"/>
  <c r="B1" i="6"/>
  <c r="B23" i="5"/>
  <c r="H12" i="5"/>
  <c r="H11" i="5"/>
  <c r="H10" i="5"/>
  <c r="J8" i="5"/>
  <c r="C8" i="5"/>
  <c r="I5" i="5"/>
  <c r="B5" i="5"/>
  <c r="I4" i="5"/>
  <c r="B4" i="5"/>
  <c r="I3" i="5"/>
  <c r="B3" i="5"/>
  <c r="I2" i="5"/>
  <c r="B2" i="5"/>
  <c r="J44" i="3"/>
  <c r="G22" i="3"/>
  <c r="G20" i="3"/>
  <c r="G19" i="3"/>
  <c r="G17" i="3"/>
  <c r="G16" i="3"/>
  <c r="G15" i="3"/>
  <c r="G13" i="3"/>
  <c r="G12" i="3"/>
  <c r="L7" i="3"/>
  <c r="D7" i="3"/>
  <c r="J5" i="3"/>
  <c r="C5" i="3"/>
  <c r="J4" i="3"/>
  <c r="C4" i="3"/>
  <c r="J3" i="3"/>
  <c r="C3" i="3"/>
  <c r="J2" i="3"/>
  <c r="C2" i="3"/>
  <c r="H300" i="1"/>
  <c r="I287" i="1"/>
  <c r="I281" i="1"/>
  <c r="F257" i="1"/>
  <c r="H264" i="1" s="1"/>
  <c r="I255" i="1" a="1"/>
  <c r="I255" i="1" s="1"/>
  <c r="H255" i="1" a="1"/>
  <c r="H255" i="1" s="1"/>
  <c r="G255" i="1" a="1"/>
  <c r="G255" i="1" s="1"/>
  <c r="A255" i="1"/>
  <c r="A252" i="1"/>
  <c r="J252" i="1" s="1"/>
  <c r="J251" i="1"/>
  <c r="I253" i="1"/>
  <c r="H251" i="1"/>
  <c r="H253" i="1" s="1"/>
  <c r="H256" i="1" s="1"/>
  <c r="G251" i="1"/>
  <c r="G253" i="1" s="1"/>
  <c r="F251" i="1"/>
  <c r="F253" i="1" s="1"/>
  <c r="I221" i="1" a="1"/>
  <c r="I221" i="1" s="1"/>
  <c r="H221" i="1" a="1"/>
  <c r="H221" i="1" s="1"/>
  <c r="G221" i="1" a="1"/>
  <c r="G221" i="1" s="1"/>
  <c r="G222" i="1" s="1"/>
  <c r="F221" i="1" a="1"/>
  <c r="F221" i="1" s="1"/>
  <c r="F222" i="1" s="1"/>
  <c r="E221" i="1" a="1"/>
  <c r="E221" i="1" s="1"/>
  <c r="I220" i="1"/>
  <c r="G220" i="1"/>
  <c r="F220" i="1"/>
  <c r="J270" i="1" s="1"/>
  <c r="E220" i="1"/>
  <c r="F106" i="1"/>
  <c r="J106" i="1" s="1"/>
  <c r="A224" i="1" s="1"/>
  <c r="F105" i="1"/>
  <c r="J105" i="1" s="1"/>
  <c r="J267" i="1" s="1"/>
  <c r="F33" i="1"/>
  <c r="F255" i="1" l="1"/>
  <c r="I256" i="1"/>
  <c r="E222" i="1"/>
  <c r="E225" i="1" s="1"/>
  <c r="E226" i="1" s="1"/>
  <c r="H263" i="1" s="1"/>
  <c r="H266" i="1" s="1"/>
  <c r="H272" i="1" s="1"/>
  <c r="H25" i="3" s="1"/>
  <c r="H37" i="3" s="1"/>
  <c r="H38" i="3" s="1"/>
  <c r="F256" i="1"/>
  <c r="I222" i="1"/>
  <c r="I225" i="1" s="1"/>
  <c r="I226" i="1" s="1"/>
  <c r="E286" i="1"/>
  <c r="J286" i="1" s="1"/>
  <c r="G256" i="1"/>
  <c r="K259" i="1"/>
  <c r="J255" i="1"/>
  <c r="J259" i="1"/>
  <c r="G224" i="1"/>
  <c r="G225" i="1" s="1"/>
  <c r="E279" i="1"/>
  <c r="K230" i="1"/>
  <c r="F224" i="1"/>
  <c r="F228" i="1" s="1"/>
  <c r="C224" i="1"/>
  <c r="E280" i="1" s="1"/>
  <c r="H222" i="1"/>
  <c r="H225" i="1" s="1"/>
  <c r="F225" i="1"/>
  <c r="H40" i="3"/>
  <c r="J253" i="1"/>
  <c r="J256" i="1" s="1"/>
  <c r="E285" i="1"/>
  <c r="H42" i="3" l="1"/>
  <c r="H39" i="3"/>
  <c r="H286" i="1"/>
  <c r="C254" i="1"/>
  <c r="G286" i="1"/>
  <c r="G280" i="1"/>
  <c r="J280" i="1"/>
  <c r="H280" i="1"/>
  <c r="E287" i="1"/>
  <c r="H285" i="1"/>
  <c r="H287" i="1" s="1"/>
  <c r="G285" i="1"/>
  <c r="J285" i="1"/>
  <c r="J287" i="1" s="1"/>
  <c r="G279" i="1"/>
  <c r="E281" i="1"/>
  <c r="H279" i="1"/>
  <c r="J230" i="1"/>
  <c r="J269" i="1" s="1"/>
  <c r="F226" i="1"/>
  <c r="J263" i="1" s="1"/>
  <c r="G257" i="1"/>
  <c r="J264" i="1" s="1"/>
  <c r="H281" i="1" l="1"/>
  <c r="G287" i="1"/>
  <c r="J266" i="1"/>
  <c r="G281" i="1"/>
  <c r="J279" i="1"/>
  <c r="J281" i="1" s="1"/>
  <c r="J272" i="1" l="1"/>
  <c r="I16" i="6" s="1"/>
  <c r="I33" i="6" s="1"/>
  <c r="J271" i="1"/>
  <c r="I17" i="6"/>
  <c r="I18" i="6" s="1"/>
  <c r="I34" i="6" l="1"/>
  <c r="I35" i="6"/>
  <c r="I36" i="6" l="1"/>
  <c r="I37" i="6" s="1"/>
</calcChain>
</file>

<file path=xl/sharedStrings.xml><?xml version="1.0" encoding="utf-8"?>
<sst xmlns="http://schemas.openxmlformats.org/spreadsheetml/2006/main" count="535" uniqueCount="405">
  <si>
    <t>Surveyor &amp; Loss Assessor</t>
  </si>
  <si>
    <t>License No. SLA-7777 Expirey: 26/10/2027</t>
  </si>
  <si>
    <t>Mob: 9814035162</t>
  </si>
  <si>
    <t>IISLA No. F/N/05949</t>
  </si>
  <si>
    <t>jd.batta8810@gmail.com</t>
  </si>
  <si>
    <t>Ref:</t>
  </si>
  <si>
    <t>MOTOR OD FINAL SURVEY REPORT</t>
  </si>
  <si>
    <t>Date:</t>
  </si>
  <si>
    <t>The report is issued by me as Licenced surveyor without prejudice in respect of cause, nature &amp; extent of loss/damages and subject to the terms and conditions of Insurance Policy.</t>
  </si>
  <si>
    <t>INSURERS</t>
  </si>
  <si>
    <t>ADDRESS</t>
  </si>
  <si>
    <t xml:space="preserve">COVER NOTE/POLICY NO.     </t>
  </si>
  <si>
    <t>:</t>
  </si>
  <si>
    <t>Period: 00</t>
  </si>
  <si>
    <t>CLAIM NO.</t>
  </si>
  <si>
    <t>IDV:</t>
  </si>
  <si>
    <t>INSURED</t>
  </si>
  <si>
    <t xml:space="preserve">ADDRESS </t>
  </si>
  <si>
    <t>CONTACT NO.</t>
  </si>
  <si>
    <t>HPA WITH / FINANCER</t>
  </si>
  <si>
    <t>VEHICLE PARTICULARS</t>
  </si>
  <si>
    <t>RC Original Checked &amp; Found In Order</t>
  </si>
  <si>
    <t xml:space="preserve">Registration No. </t>
  </si>
  <si>
    <t>/ RTO</t>
  </si>
  <si>
    <t>Date of Registration issue</t>
  </si>
  <si>
    <t>Date of Registration expiry</t>
  </si>
  <si>
    <t>Chassis No</t>
  </si>
  <si>
    <t>Engine No</t>
  </si>
  <si>
    <t>Make &amp; Model</t>
  </si>
  <si>
    <t>Type of Body</t>
  </si>
  <si>
    <t>Class of Vehicle</t>
  </si>
  <si>
    <t>Pre-Accident Condition</t>
  </si>
  <si>
    <t>Laden weight</t>
  </si>
  <si>
    <t>GVW</t>
  </si>
  <si>
    <t>Unladen Weight</t>
  </si>
  <si>
    <t xml:space="preserve"> ULW</t>
  </si>
  <si>
    <t>Approved Weight</t>
  </si>
  <si>
    <t>Fitness Cert. Valid upto</t>
  </si>
  <si>
    <t>Route Permit No.</t>
  </si>
  <si>
    <t>Route Permit Validity</t>
  </si>
  <si>
    <t>Authorization No.</t>
  </si>
  <si>
    <t>Authorization Validity</t>
  </si>
  <si>
    <t>Type of Permit</t>
  </si>
  <si>
    <t>Route/area of Operation</t>
  </si>
  <si>
    <t xml:space="preserve">Seating Capacity </t>
  </si>
  <si>
    <t>Road Tax Paid Upto</t>
  </si>
  <si>
    <t>Fuel Used</t>
  </si>
  <si>
    <t>Cubic Capacity</t>
  </si>
  <si>
    <t>Colour</t>
  </si>
  <si>
    <t>Name of Regd. Owner as per RC</t>
  </si>
  <si>
    <t>Gr. No. /Dtd. / Wt. carried</t>
  </si>
  <si>
    <t>Passanger Carried</t>
  </si>
  <si>
    <t>DRIVER'S PARTICULARS</t>
  </si>
  <si>
    <t>DL Original Checked &amp; Found In Order</t>
  </si>
  <si>
    <t>Name of Driver</t>
  </si>
  <si>
    <t>DOB</t>
  </si>
  <si>
    <t>Address of Driver</t>
  </si>
  <si>
    <t xml:space="preserve">LICENCE NO. </t>
  </si>
  <si>
    <t>Date of issue</t>
  </si>
  <si>
    <t>Valid Till</t>
  </si>
  <si>
    <t>Issuing Authority</t>
  </si>
  <si>
    <t>Type of Licence</t>
  </si>
  <si>
    <t>ACCIDENT HISTORY</t>
  </si>
  <si>
    <t>Date &amp; Time of Accident</t>
  </si>
  <si>
    <t>Place of Accident</t>
  </si>
  <si>
    <t>DETAIL OF SURVEY</t>
  </si>
  <si>
    <t>Date of Allotment of Survey</t>
  </si>
  <si>
    <t>Date and Time of Survey</t>
  </si>
  <si>
    <t>Time</t>
  </si>
  <si>
    <t>Date &amp; No. of Spot Survey Report.</t>
  </si>
  <si>
    <t>Name &amp; Mob. Of spot surveyor</t>
  </si>
  <si>
    <t>PLACE OF SURVEY</t>
  </si>
  <si>
    <t>Address</t>
  </si>
  <si>
    <t>FIR DETAIL/NO./Dt/PS</t>
  </si>
  <si>
    <t>INJURY/THIRD PARTY LOSS</t>
  </si>
  <si>
    <t>Third Party Injury</t>
  </si>
  <si>
    <t>Third Party Property Loss</t>
  </si>
  <si>
    <t>Injury to Driver / Occupants</t>
  </si>
  <si>
    <t>CAUSE AND NATURE OF ACCIDENT</t>
  </si>
  <si>
    <t>In compliance to advice from your office, undersigned inspected the said vehicle &amp; after phosnapping &amp; verifying the documents all the visual damages were noted.down The undersigned again visited the repairer during repairs as well as after completion of surveyors&amp;only then the detailed estimate producd  was scurtnised &amp; loss was assessed, as under:</t>
  </si>
  <si>
    <t>NOTES:</t>
  </si>
  <si>
    <t>we discussed the  estimate in detail &amp; assessed the loss in line with the cause &amp; nature of the accident allowing the reasonable cost of repairs.</t>
  </si>
  <si>
    <t>" Limitation to use " have been comlied with - refer the claim form duly filled by the insured</t>
  </si>
  <si>
    <t>The " Driver " clause has been fully complied with - refer the driving license enclose herewith</t>
  </si>
  <si>
    <t>The loss has occurred by the outside external means.</t>
  </si>
  <si>
    <t>The vehicle has been reinspected after the repairs &amp; is now in roadworth condition.</t>
  </si>
  <si>
    <t>DETAIL OF ASSESSMENT</t>
  </si>
  <si>
    <t>Nil depreciation</t>
  </si>
  <si>
    <t xml:space="preserve">CUBIC CAPACITY </t>
  </si>
  <si>
    <t>SO, EXCESS CLAUSE (IN RS.)</t>
  </si>
  <si>
    <t>LIFE OF VEHICLE ( IN YEARS )</t>
  </si>
  <si>
    <t>SO, DEP. ON METAL (IN %)</t>
  </si>
  <si>
    <t>GSTIN (IN %) FOR PARTS</t>
  </si>
  <si>
    <t>GSTIN (IN %) FOR LABOUR</t>
  </si>
  <si>
    <t>PARTS DETAILS:</t>
  </si>
  <si>
    <t>S.N.</t>
  </si>
  <si>
    <t>Parts Name</t>
  </si>
  <si>
    <t>Estimated</t>
  </si>
  <si>
    <t>M-Age</t>
  </si>
  <si>
    <t>P-50%</t>
  </si>
  <si>
    <t>G-0%</t>
  </si>
  <si>
    <t>Extra Bill</t>
  </si>
  <si>
    <t>Sr. No.</t>
  </si>
  <si>
    <t>GST</t>
  </si>
  <si>
    <t>SUB TOTAL</t>
  </si>
  <si>
    <t>% ADD GST (9%CGST+9%SGST)</t>
  </si>
  <si>
    <t>LESS DEPRECIATION:</t>
  </si>
  <si>
    <t xml:space="preserve">% OF METAL </t>
  </si>
  <si>
    <t>% OF PLASTIC</t>
  </si>
  <si>
    <t>NET FOR PARTS</t>
  </si>
  <si>
    <t>TOTAL NET FOR PARTS</t>
  </si>
  <si>
    <t>TOTAL AMOUNT OF DEPRECIATION (In Rs):</t>
  </si>
  <si>
    <t>IMT-23 ITEM, NOS.</t>
  </si>
  <si>
    <t>LABOUR DETAIL</t>
  </si>
  <si>
    <t>LABOUR ESTIMATED</t>
  </si>
  <si>
    <t>DESCRIPTION</t>
  </si>
  <si>
    <t>Estimate</t>
  </si>
  <si>
    <t>R/R</t>
  </si>
  <si>
    <t>DENTING</t>
  </si>
  <si>
    <t>C/W</t>
  </si>
  <si>
    <t>PAINT</t>
  </si>
  <si>
    <t>% LESS COST OF PAINT MATERIAL / PAINT DEP.</t>
  </si>
  <si>
    <t>SUB TOTAL BEFORE GST</t>
  </si>
  <si>
    <t>Labour Total</t>
  </si>
  <si>
    <t>NET FOR LABOUR</t>
  </si>
  <si>
    <t>TOTAL AMOUNT OF LABOUR ASSESSED (in Rs):</t>
  </si>
  <si>
    <t>IMT-23 ITEMS</t>
  </si>
  <si>
    <t>SUMMARY OF ASSESSMENT</t>
  </si>
  <si>
    <t>PARTS</t>
  </si>
  <si>
    <t>LABOUR</t>
  </si>
  <si>
    <t>TOWING CHARGES</t>
  </si>
  <si>
    <t>LESS EXCESS CLAUSE</t>
  </si>
  <si>
    <t>LESS OTHER CLAUSE</t>
  </si>
  <si>
    <t>LESS IMT-23 DEDUCTIONS</t>
  </si>
  <si>
    <t>% salavage Value</t>
  </si>
  <si>
    <t>% deduction for</t>
  </si>
  <si>
    <t>NET PAYABLE</t>
  </si>
  <si>
    <t>GST SUMMARY – SPARES</t>
  </si>
  <si>
    <t>Tax Percentage</t>
  </si>
  <si>
    <t>Taxable Amount</t>
  </si>
  <si>
    <t xml:space="preserve"> CGST</t>
  </si>
  <si>
    <t>SGST</t>
  </si>
  <si>
    <t>IGST</t>
  </si>
  <si>
    <t>Total Amount</t>
  </si>
  <si>
    <t>Total</t>
  </si>
  <si>
    <t>GST SUMMARY – LABOUR</t>
  </si>
  <si>
    <t>CGST</t>
  </si>
  <si>
    <t xml:space="preserve">The Report is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  </t>
  </si>
  <si>
    <t>The payment to be made in favour of</t>
  </si>
  <si>
    <t>REPAIRER</t>
  </si>
  <si>
    <t>Re-inspection: I have re-inspected the captioned vehicle &amp; have found that the repairs / or &amp; replacements made there in were strictly followed as per our final survey report. I have also taken a few necessary photographs of the same along with the salvage parts. The vehicle re-inspected was found to be in road worthy condition at the time of my survey. As per the request of the insurer's we have also conducted the salvage destruction process during our re-inspection &amp; also we have snapped a couple of photographs of the destructed salvage along with the the vehicle for the verification of the same.</t>
  </si>
  <si>
    <t>Encl: RC, DL, Claim form, Estimate, invoice,Fitness, permit, estimate</t>
  </si>
  <si>
    <t>Invoice, GR etc</t>
  </si>
  <si>
    <t>SURVEY FEE BILL</t>
  </si>
  <si>
    <t>GSTIN</t>
  </si>
  <si>
    <t>State code</t>
  </si>
  <si>
    <t>04</t>
  </si>
  <si>
    <t>VEHICLE/ITEM</t>
  </si>
  <si>
    <t>Make &amp; Year of Manufacturer</t>
  </si>
  <si>
    <t>C NOTE/POLICY NO.</t>
  </si>
  <si>
    <t>PROFESSIONAL FEE</t>
  </si>
  <si>
    <t>Rs</t>
  </si>
  <si>
    <t>CONVEYANCE CHARGES</t>
  </si>
  <si>
    <t>PHOTOGRAPHS</t>
  </si>
  <si>
    <t>DAILY ALLOWANCE</t>
  </si>
  <si>
    <t>RE-INSPECTION</t>
  </si>
  <si>
    <t>MISC.</t>
  </si>
  <si>
    <t>RS</t>
  </si>
  <si>
    <t>TOTAL</t>
  </si>
  <si>
    <t>SGST/UTGST</t>
  </si>
  <si>
    <t>Grand Total</t>
  </si>
  <si>
    <t xml:space="preserve">     FOR NEFT PAYMENT</t>
  </si>
  <si>
    <t xml:space="preserve">     BANK ACCOUNT DETAILS</t>
  </si>
  <si>
    <t xml:space="preserve">     BANK NAME:</t>
  </si>
  <si>
    <t xml:space="preserve">     A/C NUMBER:</t>
  </si>
  <si>
    <t>06481000084955</t>
  </si>
  <si>
    <t xml:space="preserve">     A/C TYPE:</t>
  </si>
  <si>
    <t xml:space="preserve">     IFSC CODE:</t>
  </si>
  <si>
    <t xml:space="preserve">     MICR CODE:</t>
  </si>
  <si>
    <t>NA</t>
  </si>
  <si>
    <t>GST No.</t>
  </si>
  <si>
    <t xml:space="preserve">Re-Inspection </t>
  </si>
  <si>
    <t>Insured</t>
  </si>
  <si>
    <t>Policy No.</t>
  </si>
  <si>
    <t>Date of Survey</t>
  </si>
  <si>
    <t>PRIVATE &amp; CONFIDENTIAL MOTOR RE-INSPECTION SURVEY REPORT</t>
  </si>
  <si>
    <t>I have re-inspected the captioned vehicle &amp; have found that the repairs / or &amp; replacements made there in were strictly followed as per our final survey report. I have also taken a few necessary photographs of the same along with the salvage parts. The vehicle re-inspected was found to be in road worthy condition at the time of my survey. As per the request of the insurer's we have also conducted the salvage destruction process during our re-inspection &amp; also we have snapped a couple of photographs of the destructed salvage along with the vehicle for the verification of the same.</t>
  </si>
  <si>
    <t>The report is issued without prejudice</t>
  </si>
  <si>
    <t>Total Loss/Net of Salvage</t>
  </si>
  <si>
    <t>The loss worked out as above is on the basiss of apperant damages &amp; liability of the insurers may increase by another 10 /15  percent after dismantling of the vehicle thus enhancing the actual liability. So keeping in view the high cost of repairs with respect to the IDV of the vehicle, the other modes of assessment like total loss, net of salvage were also considered as under:</t>
  </si>
  <si>
    <t>REPAIR BASISS SETTLEMENT</t>
  </si>
  <si>
    <t>Loss assessed</t>
  </si>
  <si>
    <t>Rs.</t>
  </si>
  <si>
    <t>Kept open Items</t>
  </si>
  <si>
    <t>RS.</t>
  </si>
  <si>
    <t>Expected Liability</t>
  </si>
  <si>
    <t>TOTAL LOSS SETTLEMENT :</t>
  </si>
  <si>
    <t>Sum Assured</t>
  </si>
  <si>
    <t>Indeminty Payable Mkt Value</t>
  </si>
  <si>
    <t>Less Salvage of old Vehicle</t>
  </si>
  <si>
    <t>Net Liability</t>
  </si>
  <si>
    <t>NETT OF SALVAGE SETTLEMENT :</t>
  </si>
  <si>
    <t>Total Loss Indeminity</t>
  </si>
  <si>
    <t xml:space="preserve">Net Payable </t>
  </si>
  <si>
    <t>CASH LOSS SETTLEMENT :</t>
  </si>
  <si>
    <t>Indeminity Payable on Repair basis</t>
  </si>
  <si>
    <t>Less Amount of GST on Parts</t>
  </si>
  <si>
    <t>Reduced Liability</t>
  </si>
  <si>
    <t>Less 15% lumpsum Amount</t>
  </si>
  <si>
    <t>So keeping in view the above modes, the "Net of Salvage" seems to be most apporopirate for both the stake holders &amp; recommended for your kind consideration</t>
  </si>
  <si>
    <t>ANNEXURE II</t>
  </si>
  <si>
    <t xml:space="preserve">             Surveyor's Performance Appraisal (SPA) Form</t>
  </si>
  <si>
    <t>Office Code</t>
  </si>
  <si>
    <t>Claim No.</t>
  </si>
  <si>
    <t>Name of Office/Address</t>
  </si>
  <si>
    <t>Name of Surveyor</t>
  </si>
  <si>
    <t>Report No.</t>
  </si>
  <si>
    <t>IIISLA  No.</t>
  </si>
  <si>
    <t>Date of Loss:</t>
  </si>
  <si>
    <t>Date of Appointment of Surveyor</t>
  </si>
  <si>
    <t>Date of First Visit to site</t>
  </si>
  <si>
    <t>Dates of document cpompletion</t>
  </si>
  <si>
    <t>Date of Re-inspection</t>
  </si>
  <si>
    <t>Date of submission of Final Report</t>
  </si>
  <si>
    <t>Reasons for delay in submission of report, if any</t>
  </si>
  <si>
    <t>Turn Around Time</t>
  </si>
  <si>
    <t xml:space="preserve">Whether consent for assessment obtained from the Insured / Claimant        </t>
  </si>
  <si>
    <t>yes</t>
  </si>
  <si>
    <t>Number of times documents were requisitioned from the Insured (excluding reminders)</t>
  </si>
  <si>
    <t>(Whats app communication / Chat attached)</t>
  </si>
  <si>
    <t>Remarks</t>
  </si>
  <si>
    <t>Place:_______________________</t>
  </si>
  <si>
    <t>Date:_______________________</t>
  </si>
  <si>
    <t>(Signature of the Surveyor)</t>
  </si>
  <si>
    <t>For Office use:-</t>
  </si>
  <si>
    <t>(to be filed in by the Claim Officer alongside settlement of each claim)</t>
  </si>
  <si>
    <t>Parameters</t>
  </si>
  <si>
    <t>Primary Claim Dealin</t>
  </si>
  <si>
    <t>Score</t>
  </si>
  <si>
    <t xml:space="preserve">     Officer</t>
  </si>
  <si>
    <t>Timely submission of survey report</t>
  </si>
  <si>
    <t>1-10</t>
  </si>
  <si>
    <t>(Please refer to Policy for marking)</t>
  </si>
  <si>
    <t>Error free and unambiguous survey report-</t>
  </si>
  <si>
    <t>Fair assessment</t>
  </si>
  <si>
    <t>Quick Response to queries raised, if any</t>
  </si>
  <si>
    <t>Suggenstion for risk improvement</t>
  </si>
  <si>
    <t>Feedback from the customer</t>
  </si>
  <si>
    <t>Ten point scale - Outstanding being (10) and Poor being ( 1 ):</t>
  </si>
  <si>
    <t>Signature:</t>
  </si>
  <si>
    <t>Designation</t>
  </si>
  <si>
    <t>Office</t>
  </si>
  <si>
    <t>Date</t>
  </si>
  <si>
    <t>Name:</t>
  </si>
  <si>
    <t>Good</t>
  </si>
  <si>
    <t>Whole State</t>
  </si>
  <si>
    <t>No</t>
  </si>
  <si>
    <t>BEAM ASSY FRT</t>
  </si>
  <si>
    <t>BRKT BMPR FEC</t>
  </si>
  <si>
    <t>METAL BRKT FEC CORNER RH</t>
  </si>
  <si>
    <t>ENGRGY ABSORBER SOFT FRT</t>
  </si>
  <si>
    <t>CLADDING ASSY FRT WHEEL ARCH LH</t>
  </si>
  <si>
    <t>TOW HOOK CAP FRT</t>
  </si>
  <si>
    <t>AIR CURTAIN DUCT LH</t>
  </si>
  <si>
    <t>BOLT COMBI LP M6X1.0X20X8.8</t>
  </si>
  <si>
    <t>FAN MOTOR AND SHROUD ASSY</t>
  </si>
  <si>
    <t>DEFLECTOR INTERCOOLER TOP</t>
  </si>
  <si>
    <t>DEFLECTOR RADIATOR TOP</t>
  </si>
  <si>
    <t>DEFLECTOR RADIATOR BOTTOM</t>
  </si>
  <si>
    <t>INTERCOOLER ASSY</t>
  </si>
  <si>
    <t>RADAR FRONT CENTER</t>
  </si>
  <si>
    <t>CLIP HOSE HEATER</t>
  </si>
  <si>
    <t>COOLER ASSEMBLY AUTOMATIC TRANSMISS</t>
  </si>
  <si>
    <t>PROTECTIVE COVER SENSOR</t>
  </si>
  <si>
    <t>PIPE ASSY EXHAUST TAIL</t>
  </si>
  <si>
    <t>[Invoice only] CLADDING ASSY FRT WHEE</t>
  </si>
  <si>
    <t>[Invoice only] BRKT BMPR FEC MID RH</t>
  </si>
  <si>
    <t>[Invoice only] PUSH PIN BLK -THEME</t>
  </si>
  <si>
    <t>[Invoice only] RIVET PLASTIC M6</t>
  </si>
  <si>
    <t>DENTING - CHARGES</t>
  </si>
  <si>
    <t>FRONT BUMPER ASSY- R NR</t>
  </si>
  <si>
    <t>CONDENSER - R NR(EXCL RECHARGE)</t>
  </si>
  <si>
    <t>FRONT BUMPER BRACKETS BOTH - R NR</t>
  </si>
  <si>
    <t>NOX SENSOR - R NR</t>
  </si>
  <si>
    <t>PAINTING CHARGES</t>
  </si>
  <si>
    <t>EXHAUST FRONT PIPE(WITH SCR)- R NR</t>
  </si>
  <si>
    <t>EXHAUST TAIL PIPE ASSEMBLY - R NR</t>
  </si>
  <si>
    <t>FRONT GRILL ASSEMBLY - R NR</t>
  </si>
  <si>
    <t>FENDER RH - R NR</t>
  </si>
  <si>
    <t>FRONT END CARRIER - R NR</t>
  </si>
  <si>
    <t>RADIATOR ASSEMBLY - R NR</t>
  </si>
  <si>
    <t>RADIATOR FAN ASSY - R NR</t>
  </si>
  <si>
    <t>INTERCOOLER - R NR</t>
  </si>
  <si>
    <t>A/C GAS RECOVERY N RECHARGING</t>
  </si>
  <si>
    <t>Jeewan deep Batta</t>
  </si>
  <si>
    <t>17/102,royal estate</t>
  </si>
  <si>
    <t>Zirakpur-140604</t>
  </si>
  <si>
    <t>JDB/2026-27/PORTAL/8744</t>
  </si>
  <si>
    <t>01/09/2026</t>
  </si>
  <si>
    <t>United India Insurance Company Limited</t>
  </si>
  <si>
    <t>NOT PRINTED</t>
  </si>
  <si>
    <t>1103003122P113572944</t>
  </si>
  <si>
    <t>29-Mar-2024 to 28-Mar-2025</t>
  </si>
  <si>
    <t>AJAY SINGH</t>
  </si>
  <si>
    <t>B-27 JAGATPURI KRISHNA NAGAR EAST DELHI 110051</t>
  </si>
  <si>
    <t>8196088896</t>
  </si>
  <si>
    <t>NIL</t>
  </si>
  <si>
    <t>DL3SEK1646</t>
  </si>
  <si>
    <t>SHEIKH SARAI</t>
  </si>
  <si>
    <t>06/09/2019</t>
  </si>
  <si>
    <t>05/09/2034</t>
  </si>
  <si>
    <t>MAAZXFE1FKRT00073</t>
  </si>
  <si>
    <t>ZXT00JE041637</t>
  </si>
  <si>
    <t>NINJA ZX-10R</t>
  </si>
  <si>
    <t>SOLO</t>
  </si>
  <si>
    <t>M-Cycle/Scooter</t>
  </si>
  <si>
    <t>000206</t>
  </si>
  <si>
    <t>001</t>
  </si>
  <si>
    <t>OTT</t>
  </si>
  <si>
    <t>PETROL</t>
  </si>
  <si>
    <t>000998</t>
  </si>
  <si>
    <t>LIME GREEN</t>
  </si>
  <si>
    <t>186/9 OLD AIRPORT ROAD BEHLANA CHANDIGARH - 160003</t>
  </si>
  <si>
    <t>CH01 20130011289</t>
  </si>
  <si>
    <t>23/08/2013</t>
  </si>
  <si>
    <t>22/08/2033</t>
  </si>
  <si>
    <t>RLA,CHANDIGARH</t>
  </si>
  <si>
    <t>MCWG</t>
  </si>
  <si>
    <t>23/04/2023</t>
  </si>
  <si>
    <t>SHE HAAT SARAHAN SIRMOUR (H.P)</t>
  </si>
  <si>
    <t>ASCO MOTORS</t>
  </si>
  <si>
    <t>Plot No. 61, 1 Phase, Industrial Area Chandigarh 160002</t>
  </si>
  <si>
    <t>01/03/1992</t>
  </si>
  <si>
    <t>FENDER-FRONT,L.GREEN</t>
  </si>
  <si>
    <t>WHEEL-ASSY,FR,G.BLACK</t>
  </si>
  <si>
    <t>PATTERN,WHEEL,GREEN,6X1079</t>
  </si>
  <si>
    <t>LEVER-COMP,BRAKE PEDAL</t>
  </si>
  <si>
    <t>WEIGHT,HANDLE</t>
  </si>
  <si>
    <t>HANDLE,RH</t>
  </si>
  <si>
    <t>HOLDER-FORK UNDER</t>
  </si>
  <si>
    <t>COVER,TANK,CNT,L.GREEN</t>
  </si>
  <si>
    <t>COVER-TAIL,L.GREEN</t>
  </si>
  <si>
    <t>MIRROR-ASSY,RH</t>
  </si>
  <si>
    <t>COWLING,RAM AIR</t>
  </si>
  <si>
    <t>DUCT-ASSY,RAM</t>
  </si>
  <si>
    <t>COWLING,FR,CNT</t>
  </si>
  <si>
    <t>COWLING,SIDE,RH,M.G.GRAY</t>
  </si>
  <si>
    <t>BRACKET,METER</t>
  </si>
  <si>
    <t>WINDSHIELD</t>
  </si>
  <si>
    <t>LENS-COMP</t>
  </si>
  <si>
    <t>TANK-COMP-FUEL,L.GREEN</t>
  </si>
  <si>
    <t>COVER, TANK, RH, L. GREEN</t>
  </si>
  <si>
    <t>CASE, THROTTLE</t>
  </si>
  <si>
    <t>CYLINDER-ASSY-MASTER, FR</t>
  </si>
  <si>
    <t>COVER, HEAD LAMP</t>
  </si>
  <si>
    <t>COWLING, INNER, LH, F. BLACK</t>
  </si>
  <si>
    <t>COWLING, INNER, RH, F. BLACK</t>
  </si>
  <si>
    <t>COWLING, SIDE, UPP, RH, EBONY</t>
  </si>
  <si>
    <t>COWLING, SIDE, UPP, LH, EBONY</t>
  </si>
  <si>
    <t>PAD-TANK</t>
  </si>
  <si>
    <t>STAY</t>
  </si>
  <si>
    <t>COWLING, UPP, L. GREEN</t>
  </si>
  <si>
    <t>COWLING, SIDE, FR, RH, F. BLACK</t>
  </si>
  <si>
    <t>COWLING, SIDE, FR, LH, F. BLACK</t>
  </si>
  <si>
    <t>RIVET</t>
  </si>
  <si>
    <t>[Invoice only] 35004-0362-777-Fender-</t>
  </si>
  <si>
    <t>[Invoice only] 13042-5009 WEIGHT HAND</t>
  </si>
  <si>
    <t>[Invoice only] 46003-0658 HANDLE, RH</t>
  </si>
  <si>
    <t>[Invoice only] 14092-0786-777-COVER T</t>
  </si>
  <si>
    <t>[Invoice only] 36041-5218-777-Cover -</t>
  </si>
  <si>
    <t>[Invoice only] 56001-0323 Mirror-Assy</t>
  </si>
  <si>
    <t>[Invoice only] 55028-0573 COWLING,RAM</t>
  </si>
  <si>
    <t xml:space="preserve">[Invoice only] 39045-0041, DUCT ASSY </t>
  </si>
  <si>
    <t>[Invoice only] 55058-5310-45W Cowling</t>
  </si>
  <si>
    <t>[Invoice only] 11057-0072 BRACKET MET</t>
  </si>
  <si>
    <t>[Invoice only] 39154-0351-Windshield</t>
  </si>
  <si>
    <t>[Invoice only] 23007-0203 LENS-COMP</t>
  </si>
  <si>
    <t>[Invoice only] 51090-5173-777-Tank-Co</t>
  </si>
  <si>
    <t xml:space="preserve">[Invoice only] 14093-0681-777 COVER, </t>
  </si>
  <si>
    <t>[Invoice only] 55057-5421-H8 COWLING,</t>
  </si>
  <si>
    <t>[Invoice only] 55059-5033-777 COWLING</t>
  </si>
  <si>
    <t>[Invoice only] 55028-0337-6z Cowling,</t>
  </si>
  <si>
    <t>[Invoice only] 55028-0336-6z Cowling,</t>
  </si>
  <si>
    <t>[Invoice only] 92039-0068 RIVET</t>
  </si>
  <si>
    <t>[Invoice only] 92172-0175-Screw, Tapp</t>
  </si>
  <si>
    <t>[Invoice only] 92015-1757-NUT,WELL,5M</t>
  </si>
  <si>
    <t>[Invoice only] 55028-0578 Cowling, FR</t>
  </si>
  <si>
    <t>[Invoice only] 43015-0668- CYLINDER-A</t>
  </si>
  <si>
    <t xml:space="preserve">[Invoice only] 14092-0793-Cover Head </t>
  </si>
  <si>
    <t>[Invoice only] 55057-5422-H8 Cowling,</t>
  </si>
  <si>
    <t>[Invoice only] 35063-1380 STAY</t>
  </si>
  <si>
    <t>[Invoice only] 54012-0631-Cable-Throt</t>
  </si>
  <si>
    <t>The insured vehicle was traveling when it lost control and slipped, causing the motorcycle to fall and roll over, resulting in damage.</t>
  </si>
  <si>
    <t>Punjab</t>
  </si>
  <si>
    <t>savingHDFC648</t>
  </si>
  <si>
    <t>HDFC648</t>
  </si>
  <si>
    <t>160013003</t>
  </si>
  <si>
    <t>2230003126C065430001</t>
  </si>
  <si>
    <t>address</t>
  </si>
  <si>
    <t xml:space="preserve"> SURVEY FEE</t>
  </si>
  <si>
    <t>REINSPECTION FEE</t>
  </si>
  <si>
    <t>JDB/2026-27/PORTAL-254654</t>
  </si>
  <si>
    <t>workshop_invoice_no</t>
  </si>
  <si>
    <t>sfdf45s</t>
  </si>
  <si>
    <t>workshop_invoice_date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</si>
</sst>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d;@"/>
    <numFmt numFmtId="165" formatCode="h:mm;@"/>
    <numFmt numFmtId="166" formatCode="0.0"/>
    <numFmt numFmtId="167" formatCode="[$-F800]dddd\,\ mmmm\ dd\,\ yyyy"/>
  </numFmts>
  <fonts count="63" x14ac:knownFonts="1">
    <font>
      <sz val="9"/>
      <color rgb="FF000000"/>
      <name val="Times New Roman"/>
    </font>
    <font>
      <sz val="12"/>
      <color rgb="FF000000"/>
      <name val="Times New Roman"/>
      <family val="1"/>
    </font>
    <font>
      <sz val="12"/>
      <name val="Times New Roman"/>
      <family val="1"/>
    </font>
    <font>
      <b/>
      <sz val="12"/>
      <color rgb="FF000000"/>
      <name val="Times New Roman"/>
      <family val="1"/>
    </font>
    <font>
      <b/>
      <sz val="10"/>
      <name val="Arial"/>
      <family val="2"/>
    </font>
    <font>
      <b/>
      <sz val="11"/>
      <name val="Times New Roman"/>
      <family val="1"/>
    </font>
    <font>
      <b/>
      <sz val="10"/>
      <name val="Arial"/>
      <family val="2"/>
    </font>
    <font>
      <sz val="10"/>
      <name val="Arial"/>
      <family val="2"/>
    </font>
    <font>
      <sz val="10"/>
      <name val="Arial"/>
      <family val="2"/>
    </font>
    <font>
      <sz val="10"/>
      <name val="Times New Roman"/>
      <family val="1"/>
    </font>
    <font>
      <b/>
      <sz val="10"/>
      <name val="Times New Roman"/>
      <family val="1"/>
    </font>
    <font>
      <b/>
      <sz val="10"/>
      <name val="Times New Roman"/>
      <family val="1"/>
    </font>
    <font>
      <sz val="14"/>
      <color rgb="FF000000"/>
      <name val="Times New Roman"/>
      <family val="1"/>
    </font>
    <font>
      <b/>
      <sz val="14"/>
      <color rgb="FF000000"/>
      <name val="Times New Roman"/>
      <family val="1"/>
    </font>
    <font>
      <b/>
      <sz val="14"/>
      <color rgb="FF000000"/>
      <name val="Times New Roman"/>
      <family val="1"/>
    </font>
    <font>
      <sz val="16"/>
      <color rgb="FF000000"/>
      <name val="Times New Roman"/>
      <family val="1"/>
    </font>
    <font>
      <b/>
      <sz val="18"/>
      <color rgb="FF000000"/>
      <name val="Times New Roman"/>
      <family val="1"/>
    </font>
    <font>
      <sz val="11"/>
      <name val="Times New Roman"/>
      <family val="1"/>
    </font>
    <font>
      <sz val="11"/>
      <color rgb="FF000000"/>
      <name val="Times New Roman"/>
      <family val="1"/>
    </font>
    <font>
      <sz val="10"/>
      <color rgb="FF000000"/>
      <name val="Times New Roman"/>
      <family val="1"/>
    </font>
    <font>
      <sz val="11"/>
      <name val="Arial"/>
      <family val="2"/>
    </font>
    <font>
      <b/>
      <sz val="11"/>
      <name val="Arial"/>
      <family val="2"/>
    </font>
    <font>
      <sz val="12"/>
      <name val="Arial"/>
      <family val="2"/>
    </font>
    <font>
      <b/>
      <sz val="12"/>
      <name val="Arial"/>
      <family val="2"/>
    </font>
    <font>
      <b/>
      <sz val="9"/>
      <color rgb="FF000000"/>
      <name val="Times New Roman"/>
      <family val="1"/>
    </font>
    <font>
      <b/>
      <sz val="16"/>
      <color rgb="FF000000"/>
      <name val="Times New Roman"/>
      <family val="1"/>
    </font>
    <font>
      <sz val="14"/>
      <color rgb="FF000000"/>
      <name val="Times New Roman"/>
      <family val="1"/>
    </font>
    <font>
      <sz val="14"/>
      <color rgb="FF000000"/>
      <name val="Times New Roman"/>
      <family val="1"/>
    </font>
    <font>
      <sz val="14"/>
      <name val="Times New Roman"/>
      <family val="1"/>
    </font>
    <font>
      <sz val="14"/>
      <color rgb="FFFF0000"/>
      <name val="Times New Roman"/>
      <family val="1"/>
    </font>
    <font>
      <sz val="14"/>
      <color rgb="FF00B050"/>
      <name val="Times New Roman"/>
      <family val="1"/>
    </font>
    <font>
      <sz val="10"/>
      <color rgb="FF00B050"/>
      <name val="Times New Roman"/>
      <family val="1"/>
    </font>
    <font>
      <sz val="12"/>
      <color rgb="FF000000"/>
      <name val="Times New Roman"/>
      <family val="1"/>
    </font>
    <font>
      <b/>
      <sz val="12"/>
      <color rgb="FF000000"/>
      <name val="Times New Roman"/>
      <family val="1"/>
    </font>
    <font>
      <b/>
      <sz val="12"/>
      <name val="Times New Roman"/>
      <family val="1"/>
    </font>
    <font>
      <sz val="12"/>
      <name val="Times New Roman"/>
      <family val="1"/>
    </font>
    <font>
      <sz val="14"/>
      <color rgb="FF000000"/>
      <name val="Times New Roman"/>
      <family val="1"/>
    </font>
    <font>
      <b/>
      <sz val="14"/>
      <name val="Times New Roman"/>
      <family val="1"/>
    </font>
    <font>
      <sz val="14"/>
      <name val="Times New Roman"/>
      <family val="1"/>
    </font>
    <font>
      <sz val="13"/>
      <name val="Times New Roman"/>
      <family val="1"/>
    </font>
    <font>
      <sz val="10"/>
      <name val="Times New Roman"/>
      <family val="1"/>
    </font>
    <font>
      <sz val="15"/>
      <name val="Times New Roman"/>
      <family val="1"/>
    </font>
    <font>
      <sz val="15"/>
      <color rgb="FF000000"/>
      <name val="Times New Roman"/>
      <family val="1"/>
    </font>
    <font>
      <b/>
      <sz val="15"/>
      <color rgb="FF000000"/>
      <name val="Times New Roman"/>
      <family val="1"/>
    </font>
    <font>
      <b/>
      <sz val="15"/>
      <name val="Times New Roman"/>
      <family val="1"/>
    </font>
    <font>
      <sz val="15"/>
      <color rgb="FFFF0000"/>
      <name val="Times New Roman"/>
      <family val="1"/>
    </font>
    <font>
      <b/>
      <sz val="15"/>
      <color rgb="FFFF0000"/>
      <name val="Times New Roman"/>
      <family val="1"/>
    </font>
    <font>
      <i/>
      <sz val="15"/>
      <color rgb="FF00B0F0"/>
      <name val="Times New Roman"/>
      <family val="1"/>
    </font>
    <font>
      <i/>
      <sz val="15"/>
      <color rgb="FFFF0000"/>
      <name val="Times New Roman"/>
      <family val="1"/>
    </font>
    <font>
      <b/>
      <sz val="15"/>
      <color rgb="FF0070C0"/>
      <name val="Times New Roman"/>
      <family val="1"/>
    </font>
    <font>
      <b/>
      <sz val="22"/>
      <color rgb="FF0070C0"/>
      <name val="Times New Roman"/>
      <family val="1"/>
    </font>
    <font>
      <sz val="13"/>
      <color rgb="FF000000"/>
      <name val="Times New Roman"/>
      <family val="1"/>
    </font>
    <font>
      <b/>
      <sz val="14"/>
      <color rgb="FF000000"/>
      <name val="Times New Roman"/>
      <family val="1"/>
    </font>
    <font>
      <b/>
      <sz val="14"/>
      <color rgb="FF00B0F0"/>
      <name val="Times New Roman"/>
      <family val="1"/>
    </font>
    <font>
      <sz val="10"/>
      <color rgb="FF000000"/>
      <name val="Times New Roman"/>
      <family val="1"/>
    </font>
    <font>
      <i/>
      <sz val="14"/>
      <name val="Times New Roman"/>
      <family val="1"/>
    </font>
    <font>
      <b/>
      <sz val="14"/>
      <color rgb="FFFF0000"/>
      <name val="Times New Roman"/>
      <family val="1"/>
    </font>
    <font>
      <b/>
      <sz val="20"/>
      <color rgb="FF000000"/>
      <name val="Times New Roman"/>
      <family val="1"/>
    </font>
    <font>
      <b/>
      <sz val="10"/>
      <color rgb="FF000000"/>
      <name val="Times New Roman"/>
      <family val="1"/>
    </font>
    <font>
      <sz val="14"/>
      <color rgb="FF00B050"/>
      <name val="Times New Roman"/>
      <family val="1"/>
    </font>
    <font>
      <sz val="11"/>
      <name val="Arial"/>
      <family val="2"/>
    </font>
    <font>
      <b/>
      <sz val="10"/>
      <color rgb="FF000000"/>
      <name val="Times New Roman"/>
      <family val="1"/>
    </font>
    <font>
      <i/>
      <sz val="13"/>
      <name val="Times New Roman"/>
      <family val="1"/>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rgb="FFEAF4E3"/>
      </patternFill>
    </fill>
    <fill>
      <patternFill patternType="solid">
        <fgColor rgb="FFFCE4D6"/>
      </patternFill>
    </fill>
    <fill>
      <patternFill patternType="solid">
        <fgColor rgb="FFFFF2CC"/>
      </patternFill>
    </fill>
    <fill>
      <patternFill patternType="solid">
        <fgColor rgb="FFB4C6E7"/>
      </patternFill>
    </fill>
    <fill>
      <patternFill patternType="solid">
        <fgColor theme="4" tint="0.59978026673177287"/>
        <bgColor indexed="65"/>
      </patternFill>
    </fill>
    <fill>
      <patternFill patternType="solid">
        <fgColor theme="2" tint="-4.9989318521683403E-2"/>
        <bgColor indexed="65"/>
      </patternFill>
    </fill>
    <fill>
      <patternFill patternType="solid">
        <fgColor rgb="FFFFC7CE"/>
        <bgColor indexed="64"/>
      </patternFill>
    </fill>
  </fills>
  <borders count="76">
    <border>
      <left/>
      <right/>
      <top/>
      <bottom/>
      <diagonal/>
    </border>
    <border>
      <left/>
      <right/>
      <top/>
      <bottom style="thin">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top/>
      <bottom style="thin">
        <color rgb="FF000000"/>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indexed="64"/>
      </left>
      <right style="thin">
        <color indexed="64"/>
      </right>
      <top style="medium">
        <color auto="1"/>
      </top>
      <bottom style="medium">
        <color auto="1"/>
      </bottom>
      <diagonal/>
    </border>
    <border>
      <left style="thin">
        <color indexed="64"/>
      </left>
      <right/>
      <top style="medium">
        <color auto="1"/>
      </top>
      <bottom style="medium">
        <color auto="1"/>
      </bottom>
      <diagonal/>
    </border>
    <border>
      <left/>
      <right/>
      <top style="medium">
        <color auto="1"/>
      </top>
      <bottom style="medium">
        <color auto="1"/>
      </bottom>
      <diagonal/>
    </border>
    <border>
      <left/>
      <right style="thin">
        <color indexed="64"/>
      </right>
      <top style="medium">
        <color auto="1"/>
      </top>
      <bottom style="medium">
        <color auto="1"/>
      </bottom>
      <diagonal/>
    </border>
    <border>
      <left style="thin">
        <color indexed="64"/>
      </left>
      <right style="thin">
        <color indexed="64"/>
      </right>
      <top style="medium">
        <color auto="1"/>
      </top>
      <bottom style="thin">
        <color auto="1"/>
      </bottom>
      <diagonal/>
    </border>
    <border>
      <left/>
      <right/>
      <top style="medium">
        <color auto="1"/>
      </top>
      <bottom style="thin">
        <color auto="1"/>
      </bottom>
      <diagonal/>
    </border>
    <border>
      <left/>
      <right style="thin">
        <color indexed="64"/>
      </right>
      <top style="medium">
        <color auto="1"/>
      </top>
      <bottom style="thin">
        <color auto="1"/>
      </bottom>
      <diagonal/>
    </border>
    <border>
      <left/>
      <right style="thin">
        <color rgb="FF000000"/>
      </right>
      <top style="medium">
        <color auto="1"/>
      </top>
      <bottom style="thin">
        <color auto="1"/>
      </bottom>
      <diagonal/>
    </border>
    <border>
      <left style="thin">
        <color rgb="FF000000"/>
      </left>
      <right style="thin">
        <color rgb="FF000000"/>
      </right>
      <top style="medium">
        <color auto="1"/>
      </top>
      <bottom style="thin">
        <color auto="1"/>
      </bottom>
      <diagonal/>
    </border>
    <border>
      <left style="thin">
        <color indexed="64"/>
      </left>
      <right/>
      <top style="medium">
        <color auto="1"/>
      </top>
      <bottom style="thin">
        <color auto="1"/>
      </bottom>
      <diagonal/>
    </border>
    <border>
      <left style="thin">
        <color rgb="FF000000"/>
      </left>
      <right style="thin">
        <color indexed="64"/>
      </right>
      <top style="medium">
        <color auto="1"/>
      </top>
      <bottom style="thin">
        <color auto="1"/>
      </bottom>
      <diagonal/>
    </border>
    <border>
      <left style="thin">
        <color indexed="64"/>
      </left>
      <right style="thin">
        <color rgb="FF000000"/>
      </right>
      <top style="medium">
        <color auto="1"/>
      </top>
      <bottom style="thin">
        <color auto="1"/>
      </bottom>
      <diagonal/>
    </border>
    <border>
      <left style="thin">
        <color rgb="FF000000"/>
      </left>
      <right/>
      <top style="medium">
        <color auto="1"/>
      </top>
      <bottom style="thin">
        <color auto="1"/>
      </bottom>
      <diagonal/>
    </border>
    <border>
      <left style="thin">
        <color indexed="64"/>
      </left>
      <right/>
      <top style="medium">
        <color auto="1"/>
      </top>
      <bottom style="double">
        <color auto="1"/>
      </bottom>
      <diagonal/>
    </border>
    <border>
      <left/>
      <right/>
      <top style="medium">
        <color auto="1"/>
      </top>
      <bottom style="double">
        <color auto="1"/>
      </bottom>
      <diagonal/>
    </border>
    <border>
      <left/>
      <right style="thin">
        <color indexed="64"/>
      </right>
      <top style="medium">
        <color auto="1"/>
      </top>
      <bottom style="double">
        <color auto="1"/>
      </bottom>
      <diagonal/>
    </border>
    <border>
      <left/>
      <right style="thin">
        <color rgb="FF000000"/>
      </right>
      <top style="medium">
        <color auto="1"/>
      </top>
      <bottom style="double">
        <color auto="1"/>
      </bottom>
      <diagonal/>
    </border>
    <border>
      <left style="thin">
        <color rgb="FF000000"/>
      </left>
      <right style="thin">
        <color rgb="FF000000"/>
      </right>
      <top style="medium">
        <color auto="1"/>
      </top>
      <bottom style="double">
        <color auto="1"/>
      </bottom>
      <diagonal/>
    </border>
    <border>
      <left style="thin">
        <color indexed="64"/>
      </left>
      <right style="thin">
        <color indexed="64"/>
      </right>
      <top style="medium">
        <color auto="1"/>
      </top>
      <bottom style="double">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medium">
        <color auto="1"/>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diagonal/>
    </border>
    <border>
      <left style="thin">
        <color indexed="64"/>
      </left>
      <right/>
      <top style="medium">
        <color rgb="FF000000"/>
      </top>
      <bottom/>
      <diagonal/>
    </border>
    <border>
      <left/>
      <right style="thin">
        <color indexed="64"/>
      </right>
      <top style="medium">
        <color rgb="FF000000"/>
      </top>
      <bottom/>
      <diagonal/>
    </border>
    <border>
      <left style="thin">
        <color indexed="64"/>
      </left>
      <right/>
      <top style="medium">
        <color auto="1"/>
      </top>
      <bottom style="thin">
        <color auto="1"/>
      </bottom>
      <diagonal/>
    </border>
    <border>
      <left/>
      <right style="thin">
        <color indexed="64"/>
      </right>
      <top style="medium">
        <color auto="1"/>
      </top>
      <bottom style="thin">
        <color auto="1"/>
      </bottom>
      <diagonal/>
    </border>
    <border>
      <left style="thin">
        <color indexed="64"/>
      </left>
      <right/>
      <top style="thin">
        <color indexed="64"/>
      </top>
      <bottom style="medium">
        <color auto="1"/>
      </bottom>
      <diagonal/>
    </border>
    <border>
      <left/>
      <right style="thin">
        <color indexed="64"/>
      </right>
      <top style="thin">
        <color indexed="64"/>
      </top>
      <bottom style="medium">
        <color indexed="64"/>
      </bottom>
      <diagonal/>
    </border>
    <border>
      <left style="thin">
        <color rgb="FF000000"/>
      </left>
      <right/>
      <top style="thin">
        <color indexed="64"/>
      </top>
      <bottom/>
      <diagonal/>
    </border>
  </borders>
  <cellStyleXfs count="1">
    <xf numFmtId="0" fontId="0" fillId="0" borderId="9"/>
  </cellStyleXfs>
  <cellXfs count="450">
    <xf numFmtId="0" fontId="0" fillId="0" borderId="0" xfId="0" applyBorder="1"/>
    <xf numFmtId="0" fontId="0" fillId="0" borderId="33" xfId="0" applyBorder="1"/>
    <xf numFmtId="0" fontId="4" fillId="0" borderId="9" xfId="0" applyFont="1"/>
    <xf numFmtId="0" fontId="4" fillId="0" borderId="9" xfId="0" applyFont="1" applyAlignment="1">
      <alignment horizontal="left"/>
    </xf>
    <xf numFmtId="2" fontId="0" fillId="0" borderId="9" xfId="0" applyNumberFormat="1"/>
    <xf numFmtId="0" fontId="6" fillId="0" borderId="9" xfId="0" applyFont="1" applyAlignment="1">
      <alignment horizontal="left"/>
    </xf>
    <xf numFmtId="2" fontId="6" fillId="0" borderId="9" xfId="0" applyNumberFormat="1" applyFont="1"/>
    <xf numFmtId="0" fontId="7" fillId="0" borderId="33" xfId="0" applyFont="1" applyBorder="1"/>
    <xf numFmtId="2" fontId="6" fillId="0" borderId="9" xfId="0" applyNumberFormat="1" applyFont="1" applyAlignment="1">
      <alignment horizontal="right"/>
    </xf>
    <xf numFmtId="0" fontId="8" fillId="0" borderId="9" xfId="0" applyFont="1"/>
    <xf numFmtId="2" fontId="0" fillId="0" borderId="0" xfId="0" applyNumberFormat="1" applyBorder="1"/>
    <xf numFmtId="0" fontId="0" fillId="0" borderId="34" xfId="0" applyBorder="1"/>
    <xf numFmtId="0" fontId="6" fillId="0" borderId="9" xfId="0" applyFont="1" applyAlignment="1">
      <alignment vertical="justify" wrapText="1"/>
    </xf>
    <xf numFmtId="0" fontId="6" fillId="0" borderId="9" xfId="0" applyFont="1"/>
    <xf numFmtId="0" fontId="9" fillId="0" borderId="0" xfId="0" applyFont="1" applyBorder="1"/>
    <xf numFmtId="0" fontId="9" fillId="0" borderId="17" xfId="0" applyFont="1" applyBorder="1"/>
    <xf numFmtId="0" fontId="9" fillId="0" borderId="13" xfId="0" applyFont="1" applyBorder="1"/>
    <xf numFmtId="0" fontId="9" fillId="0" borderId="18" xfId="0" applyFont="1" applyBorder="1"/>
    <xf numFmtId="0" fontId="9" fillId="0" borderId="15" xfId="0" applyFont="1" applyBorder="1"/>
    <xf numFmtId="0" fontId="9" fillId="0" borderId="14" xfId="0" applyFont="1" applyBorder="1"/>
    <xf numFmtId="0" fontId="9" fillId="0" borderId="16" xfId="0" applyFont="1" applyBorder="1"/>
    <xf numFmtId="0" fontId="9" fillId="0" borderId="33" xfId="0" applyFont="1" applyBorder="1"/>
    <xf numFmtId="0" fontId="9" fillId="0" borderId="9" xfId="0" applyFont="1"/>
    <xf numFmtId="0" fontId="9" fillId="0" borderId="19" xfId="0" applyFont="1" applyBorder="1"/>
    <xf numFmtId="0" fontId="9" fillId="0" borderId="35" xfId="0" applyFont="1" applyBorder="1"/>
    <xf numFmtId="0" fontId="9" fillId="0" borderId="34" xfId="0" applyFont="1" applyBorder="1"/>
    <xf numFmtId="0" fontId="9" fillId="0" borderId="36" xfId="0" applyFont="1" applyBorder="1"/>
    <xf numFmtId="0" fontId="9" fillId="0" borderId="0" xfId="0" applyFont="1" applyBorder="1" applyAlignment="1">
      <alignment horizontal="left"/>
    </xf>
    <xf numFmtId="0" fontId="10" fillId="0" borderId="0" xfId="0" applyFont="1" applyBorder="1"/>
    <xf numFmtId="0" fontId="9" fillId="0" borderId="34" xfId="0" applyFont="1" applyBorder="1" applyAlignment="1">
      <alignment horizontal="left"/>
    </xf>
    <xf numFmtId="0" fontId="11" fillId="0" borderId="0" xfId="0" applyFont="1" applyBorder="1"/>
    <xf numFmtId="0" fontId="10" fillId="0" borderId="17" xfId="0" applyFont="1" applyBorder="1"/>
    <xf numFmtId="0" fontId="10" fillId="0" borderId="13" xfId="0" applyFont="1" applyBorder="1"/>
    <xf numFmtId="0" fontId="10" fillId="0" borderId="18" xfId="0" applyFont="1" applyBorder="1"/>
    <xf numFmtId="0" fontId="10" fillId="0" borderId="37" xfId="0" applyFont="1" applyBorder="1" applyAlignment="1">
      <alignment horizontal="left"/>
    </xf>
    <xf numFmtId="0" fontId="10" fillId="0" borderId="33" xfId="0" applyFont="1" applyBorder="1"/>
    <xf numFmtId="0" fontId="10" fillId="0" borderId="9" xfId="0" applyFont="1"/>
    <xf numFmtId="0" fontId="10" fillId="0" borderId="19" xfId="0" applyFont="1" applyBorder="1"/>
    <xf numFmtId="0" fontId="10" fillId="0" borderId="38" xfId="0" applyFont="1" applyBorder="1"/>
    <xf numFmtId="16" fontId="9" fillId="0" borderId="37" xfId="0" applyNumberFormat="1" applyFont="1" applyBorder="1"/>
    <xf numFmtId="0" fontId="9" fillId="0" borderId="25" xfId="0" applyFont="1" applyBorder="1"/>
    <xf numFmtId="0" fontId="9" fillId="0" borderId="38" xfId="0" applyFont="1" applyBorder="1"/>
    <xf numFmtId="0" fontId="9" fillId="0" borderId="20" xfId="0" applyFont="1" applyBorder="1"/>
    <xf numFmtId="0" fontId="12" fillId="0" borderId="27" xfId="0" applyFont="1" applyBorder="1" applyAlignment="1">
      <alignment wrapText="1"/>
    </xf>
    <xf numFmtId="0" fontId="12" fillId="0" borderId="0" xfId="0" applyFont="1" applyBorder="1"/>
    <xf numFmtId="0" fontId="13" fillId="0" borderId="27" xfId="0" applyFont="1" applyBorder="1" applyAlignment="1">
      <alignment vertical="center"/>
    </xf>
    <xf numFmtId="0" fontId="12" fillId="0" borderId="27" xfId="0" applyFont="1" applyBorder="1" applyAlignment="1">
      <alignment vertical="center"/>
    </xf>
    <xf numFmtId="0" fontId="12" fillId="0" borderId="28" xfId="0" applyFont="1" applyBorder="1" applyAlignment="1">
      <alignment vertical="center"/>
    </xf>
    <xf numFmtId="0" fontId="12" fillId="0" borderId="28" xfId="0" applyFont="1" applyBorder="1" applyAlignment="1">
      <alignment wrapText="1"/>
    </xf>
    <xf numFmtId="0" fontId="13" fillId="0" borderId="27" xfId="0" applyFont="1" applyBorder="1" applyAlignment="1">
      <alignment wrapText="1"/>
    </xf>
    <xf numFmtId="0" fontId="12" fillId="0" borderId="27" xfId="0" applyFont="1" applyBorder="1"/>
    <xf numFmtId="0" fontId="13" fillId="0" borderId="27" xfId="0" applyFont="1" applyBorder="1" applyAlignment="1">
      <alignment horizontal="right" wrapText="1"/>
    </xf>
    <xf numFmtId="14" fontId="12" fillId="0" borderId="27" xfId="0" applyNumberFormat="1" applyFont="1" applyBorder="1" applyAlignment="1">
      <alignment wrapText="1"/>
    </xf>
    <xf numFmtId="14" fontId="12" fillId="0" borderId="27" xfId="0" applyNumberFormat="1" applyFont="1" applyBorder="1"/>
    <xf numFmtId="0" fontId="14" fillId="0" borderId="29" xfId="0" applyFont="1" applyBorder="1" applyAlignment="1">
      <alignment vertical="center"/>
    </xf>
    <xf numFmtId="0" fontId="12" fillId="0" borderId="30" xfId="0" applyFont="1" applyBorder="1" applyAlignment="1">
      <alignment wrapText="1"/>
    </xf>
    <xf numFmtId="0" fontId="12" fillId="0" borderId="31" xfId="0" applyFont="1" applyBorder="1" applyAlignment="1">
      <alignment wrapText="1"/>
    </xf>
    <xf numFmtId="0" fontId="12" fillId="0" borderId="27" xfId="0" applyFont="1" applyBorder="1" applyAlignment="1">
      <alignment vertical="center" wrapText="1"/>
    </xf>
    <xf numFmtId="0" fontId="12" fillId="0" borderId="27" xfId="0" applyFont="1" applyBorder="1" applyAlignment="1">
      <alignment horizontal="right" wrapText="1"/>
    </xf>
    <xf numFmtId="0" fontId="16" fillId="0" borderId="27" xfId="0" applyFont="1" applyBorder="1" applyAlignment="1">
      <alignment vertical="center"/>
    </xf>
    <xf numFmtId="0" fontId="12" fillId="0" borderId="39" xfId="0" applyFont="1" applyBorder="1" applyAlignment="1">
      <alignment wrapText="1"/>
    </xf>
    <xf numFmtId="0" fontId="14" fillId="0" borderId="39" xfId="0" applyFont="1" applyBorder="1" applyAlignment="1">
      <alignment vertical="center"/>
    </xf>
    <xf numFmtId="0" fontId="12" fillId="0" borderId="9" xfId="0" applyFont="1"/>
    <xf numFmtId="0" fontId="12" fillId="0" borderId="40" xfId="0" applyFont="1" applyBorder="1" applyAlignment="1">
      <alignment wrapText="1"/>
    </xf>
    <xf numFmtId="0" fontId="12" fillId="0" borderId="40" xfId="0" applyFont="1" applyBorder="1"/>
    <xf numFmtId="14" fontId="12" fillId="0" borderId="40" xfId="0" applyNumberFormat="1" applyFont="1" applyBorder="1"/>
    <xf numFmtId="0" fontId="12" fillId="0" borderId="34" xfId="0" applyFont="1" applyBorder="1"/>
    <xf numFmtId="0" fontId="0" fillId="0" borderId="9" xfId="0"/>
    <xf numFmtId="2" fontId="4" fillId="0" borderId="9" xfId="0" applyNumberFormat="1" applyFont="1" applyAlignment="1">
      <alignment horizontal="right"/>
    </xf>
    <xf numFmtId="0" fontId="5" fillId="0" borderId="9" xfId="0" applyFont="1" applyAlignment="1">
      <alignment horizontal="right"/>
    </xf>
    <xf numFmtId="2" fontId="0" fillId="0" borderId="13" xfId="0" applyNumberFormat="1" applyBorder="1"/>
    <xf numFmtId="0" fontId="17" fillId="0" borderId="19" xfId="0" applyFont="1" applyBorder="1" applyAlignment="1">
      <alignment horizontal="right"/>
    </xf>
    <xf numFmtId="0" fontId="17" fillId="0" borderId="9" xfId="0" applyFont="1" applyAlignment="1">
      <alignment horizontal="right"/>
    </xf>
    <xf numFmtId="0" fontId="18" fillId="0" borderId="33" xfId="0" applyFont="1" applyBorder="1"/>
    <xf numFmtId="0" fontId="18" fillId="0" borderId="9" xfId="0" applyFont="1"/>
    <xf numFmtId="2" fontId="20" fillId="0" borderId="20" xfId="0" applyNumberFormat="1" applyFont="1" applyBorder="1"/>
    <xf numFmtId="0" fontId="21" fillId="0" borderId="9" xfId="0" applyFont="1"/>
    <xf numFmtId="2" fontId="21" fillId="0" borderId="20" xfId="0" applyNumberFormat="1" applyFont="1" applyBorder="1"/>
    <xf numFmtId="0" fontId="22" fillId="0" borderId="33" xfId="0" applyFont="1" applyBorder="1"/>
    <xf numFmtId="0" fontId="1" fillId="0" borderId="9" xfId="0" applyFont="1"/>
    <xf numFmtId="0" fontId="2" fillId="0" borderId="19" xfId="0" applyFont="1" applyBorder="1" applyAlignment="1">
      <alignment horizontal="right"/>
    </xf>
    <xf numFmtId="2" fontId="1" fillId="0" borderId="20" xfId="0" applyNumberFormat="1" applyFont="1" applyBorder="1"/>
    <xf numFmtId="0" fontId="23" fillId="0" borderId="9" xfId="0" applyFont="1"/>
    <xf numFmtId="2" fontId="3" fillId="0" borderId="20" xfId="0" applyNumberFormat="1" applyFont="1" applyBorder="1"/>
    <xf numFmtId="0" fontId="22" fillId="0" borderId="9" xfId="0" applyFont="1"/>
    <xf numFmtId="2" fontId="1" fillId="0" borderId="37" xfId="0" applyNumberFormat="1" applyFont="1" applyBorder="1"/>
    <xf numFmtId="0" fontId="24" fillId="0" borderId="9" xfId="0" applyFont="1" applyAlignment="1">
      <alignment horizontal="right"/>
    </xf>
    <xf numFmtId="0" fontId="24" fillId="0" borderId="9" xfId="0" applyFont="1"/>
    <xf numFmtId="0" fontId="25" fillId="0" borderId="27" xfId="0" applyFont="1" applyBorder="1" applyAlignment="1">
      <alignment wrapText="1"/>
    </xf>
    <xf numFmtId="14" fontId="13" fillId="0" borderId="27" xfId="0" applyNumberFormat="1" applyFont="1" applyBorder="1" applyAlignment="1">
      <alignment horizontal="right"/>
    </xf>
    <xf numFmtId="14" fontId="24" fillId="0" borderId="9" xfId="0" applyNumberFormat="1" applyFont="1"/>
    <xf numFmtId="0" fontId="9" fillId="0" borderId="62" xfId="0" applyFont="1" applyBorder="1"/>
    <xf numFmtId="14" fontId="9" fillId="0" borderId="0" xfId="0" applyNumberFormat="1" applyFont="1" applyBorder="1"/>
    <xf numFmtId="0" fontId="9" fillId="0" borderId="9" xfId="0" applyFont="1" applyAlignment="1">
      <alignment horizontal="left"/>
    </xf>
    <xf numFmtId="0" fontId="26" fillId="0" borderId="9" xfId="0" applyFont="1"/>
    <xf numFmtId="0" fontId="27" fillId="0" borderId="0" xfId="0" applyFont="1" applyBorder="1" applyAlignment="1">
      <alignment vertical="center"/>
    </xf>
    <xf numFmtId="0" fontId="27" fillId="0" borderId="9" xfId="0" applyFont="1" applyAlignment="1">
      <alignment vertical="center"/>
    </xf>
    <xf numFmtId="0" fontId="27" fillId="0" borderId="34" xfId="0" applyFont="1" applyBorder="1" applyAlignment="1">
      <alignment vertical="center"/>
    </xf>
    <xf numFmtId="0" fontId="29" fillId="0" borderId="0" xfId="0" applyFont="1" applyBorder="1" applyAlignment="1">
      <alignment vertical="center"/>
    </xf>
    <xf numFmtId="0" fontId="28" fillId="0" borderId="0" xfId="0" applyFont="1" applyBorder="1" applyAlignment="1">
      <alignment vertical="center"/>
    </xf>
    <xf numFmtId="0" fontId="12" fillId="0" borderId="0" xfId="0" applyFont="1" applyBorder="1" applyAlignment="1">
      <alignment vertical="center"/>
    </xf>
    <xf numFmtId="0" fontId="13" fillId="0" borderId="0" xfId="0" applyFont="1" applyBorder="1" applyAlignment="1">
      <alignment vertical="center"/>
    </xf>
    <xf numFmtId="0" fontId="12" fillId="0" borderId="2" xfId="0" applyFont="1" applyBorder="1" applyAlignment="1">
      <alignment vertical="center"/>
    </xf>
    <xf numFmtId="0" fontId="12" fillId="0" borderId="34" xfId="0" applyFont="1" applyBorder="1" applyAlignment="1">
      <alignment vertical="center"/>
    </xf>
    <xf numFmtId="0" fontId="12" fillId="0" borderId="0" xfId="0" applyFont="1" applyBorder="1" applyAlignment="1">
      <alignment horizontal="left" vertical="center"/>
    </xf>
    <xf numFmtId="14" fontId="13" fillId="0" borderId="0" xfId="0" applyNumberFormat="1" applyFont="1" applyBorder="1" applyAlignment="1">
      <alignment horizontal="right" vertical="center"/>
    </xf>
    <xf numFmtId="0" fontId="27" fillId="0" borderId="68" xfId="0" applyFont="1" applyBorder="1" applyAlignment="1">
      <alignment vertical="center"/>
    </xf>
    <xf numFmtId="0" fontId="30" fillId="0" borderId="9" xfId="0" applyFont="1"/>
    <xf numFmtId="0" fontId="30" fillId="0" borderId="0" xfId="0" applyFont="1" applyBorder="1"/>
    <xf numFmtId="0" fontId="31" fillId="0" borderId="0" xfId="0" applyFont="1" applyBorder="1"/>
    <xf numFmtId="17" fontId="35" fillId="0" borderId="0" xfId="0" applyNumberFormat="1" applyFont="1" applyBorder="1"/>
    <xf numFmtId="0" fontId="36" fillId="0" borderId="0" xfId="0" applyFont="1" applyBorder="1" applyAlignment="1">
      <alignment vertical="center"/>
    </xf>
    <xf numFmtId="0" fontId="38" fillId="0" borderId="0" xfId="0" applyFont="1" applyBorder="1"/>
    <xf numFmtId="0" fontId="41" fillId="0" borderId="0" xfId="0" applyFont="1" applyBorder="1"/>
    <xf numFmtId="0" fontId="37" fillId="0" borderId="0" xfId="0" applyFont="1" applyBorder="1" applyAlignment="1">
      <alignment horizontal="left" vertical="center"/>
    </xf>
    <xf numFmtId="0" fontId="42" fillId="0" borderId="0" xfId="0" applyFont="1" applyBorder="1" applyAlignment="1">
      <alignment vertical="center"/>
    </xf>
    <xf numFmtId="2" fontId="42" fillId="0" borderId="0" xfId="0" applyNumberFormat="1" applyFont="1" applyBorder="1" applyAlignment="1">
      <alignment vertical="center"/>
    </xf>
    <xf numFmtId="0" fontId="43" fillId="0" borderId="0" xfId="0" applyFont="1" applyBorder="1" applyAlignment="1">
      <alignment horizontal="left" vertical="center"/>
    </xf>
    <xf numFmtId="0" fontId="43" fillId="0" borderId="0" xfId="0" applyFont="1" applyBorder="1" applyAlignment="1">
      <alignment vertical="center"/>
    </xf>
    <xf numFmtId="0" fontId="43" fillId="0" borderId="0" xfId="0" applyFont="1" applyBorder="1" applyAlignment="1">
      <alignment horizontal="center" vertical="center"/>
    </xf>
    <xf numFmtId="0" fontId="43" fillId="0" borderId="0" xfId="0" applyFont="1" applyBorder="1" applyAlignment="1">
      <alignment horizontal="right" vertical="center"/>
    </xf>
    <xf numFmtId="0" fontId="42" fillId="0" borderId="0" xfId="0" applyFont="1" applyBorder="1"/>
    <xf numFmtId="0" fontId="42" fillId="0" borderId="0" xfId="0" applyFont="1" applyBorder="1" applyAlignment="1">
      <alignment vertical="center" wrapText="1"/>
    </xf>
    <xf numFmtId="2" fontId="42" fillId="0" borderId="0" xfId="0" applyNumberFormat="1" applyFont="1" applyBorder="1" applyAlignment="1">
      <alignment vertical="center" wrapText="1"/>
    </xf>
    <xf numFmtId="0" fontId="45" fillId="0" borderId="0" xfId="0" applyFont="1" applyBorder="1" applyAlignment="1">
      <alignment vertical="center"/>
    </xf>
    <xf numFmtId="0" fontId="41" fillId="0" borderId="0" xfId="0" applyFont="1" applyBorder="1" applyAlignment="1">
      <alignment vertical="center"/>
    </xf>
    <xf numFmtId="0" fontId="46" fillId="0" borderId="0" xfId="0" applyFont="1" applyBorder="1" applyAlignment="1">
      <alignment horizontal="center" vertical="center"/>
    </xf>
    <xf numFmtId="0" fontId="46" fillId="0" borderId="0" xfId="0" applyFont="1" applyBorder="1" applyAlignment="1">
      <alignment horizontal="left" vertical="center"/>
    </xf>
    <xf numFmtId="0" fontId="44" fillId="0" borderId="0" xfId="0" applyFont="1" applyBorder="1" applyAlignment="1">
      <alignment horizontal="left" vertical="center"/>
    </xf>
    <xf numFmtId="0" fontId="42" fillId="0" borderId="0" xfId="0" applyFont="1" applyBorder="1" applyAlignment="1">
      <alignment horizontal="right" vertical="center"/>
    </xf>
    <xf numFmtId="0" fontId="42" fillId="0" borderId="0" xfId="0" applyFont="1" applyBorder="1" applyAlignment="1">
      <alignment horizontal="left" vertical="center"/>
    </xf>
    <xf numFmtId="0" fontId="41" fillId="0" borderId="0" xfId="0" applyFont="1" applyBorder="1" applyAlignment="1">
      <alignment vertical="center" wrapText="1"/>
    </xf>
    <xf numFmtId="0" fontId="45" fillId="0" borderId="0" xfId="0" applyFont="1" applyBorder="1" applyAlignment="1">
      <alignment vertical="center" wrapText="1"/>
    </xf>
    <xf numFmtId="49" fontId="42" fillId="0" borderId="0" xfId="0" applyNumberFormat="1" applyFont="1" applyBorder="1" applyAlignment="1">
      <alignment horizontal="left" vertical="center"/>
    </xf>
    <xf numFmtId="17" fontId="42" fillId="0" borderId="0" xfId="0" applyNumberFormat="1" applyFont="1" applyBorder="1"/>
    <xf numFmtId="0" fontId="44" fillId="0" borderId="0" xfId="0" applyFont="1" applyBorder="1" applyAlignment="1">
      <alignment horizontal="center" vertical="center"/>
    </xf>
    <xf numFmtId="14" fontId="42" fillId="0" borderId="0" xfId="0" applyNumberFormat="1" applyFont="1" applyBorder="1" applyAlignment="1">
      <alignment horizontal="left" vertical="center"/>
    </xf>
    <xf numFmtId="0" fontId="45" fillId="0" borderId="0" xfId="0" applyFont="1" applyBorder="1" applyAlignment="1">
      <alignment horizontal="left" vertical="center"/>
    </xf>
    <xf numFmtId="0" fontId="42" fillId="0" borderId="0" xfId="0" applyFont="1" applyBorder="1" applyAlignment="1">
      <alignment horizontal="center" vertical="center"/>
    </xf>
    <xf numFmtId="14" fontId="41" fillId="0" borderId="0" xfId="0" applyNumberFormat="1" applyFont="1" applyBorder="1" applyAlignment="1">
      <alignment horizontal="right" vertical="center"/>
    </xf>
    <xf numFmtId="14" fontId="42" fillId="0" borderId="0" xfId="0" applyNumberFormat="1" applyFont="1" applyBorder="1" applyAlignment="1">
      <alignment vertical="center"/>
    </xf>
    <xf numFmtId="0" fontId="44" fillId="0" borderId="0" xfId="0" applyFont="1" applyBorder="1" applyAlignment="1">
      <alignment horizontal="right" vertical="center" wrapText="1"/>
    </xf>
    <xf numFmtId="167" fontId="42" fillId="0" borderId="0" xfId="0" applyNumberFormat="1" applyFont="1" applyBorder="1" applyAlignment="1">
      <alignment horizontal="left" vertical="center"/>
    </xf>
    <xf numFmtId="14" fontId="41" fillId="0" borderId="0" xfId="0" applyNumberFormat="1" applyFont="1" applyBorder="1" applyAlignment="1">
      <alignment horizontal="left" vertical="center"/>
    </xf>
    <xf numFmtId="165" fontId="42" fillId="0" borderId="0" xfId="0" applyNumberFormat="1" applyFont="1" applyBorder="1" applyAlignment="1">
      <alignment horizontal="left" vertical="center"/>
    </xf>
    <xf numFmtId="164" fontId="42" fillId="0" borderId="0" xfId="0" applyNumberFormat="1" applyFont="1" applyBorder="1"/>
    <xf numFmtId="0" fontId="44" fillId="0" borderId="0" xfId="0" applyFont="1" applyBorder="1" applyAlignment="1">
      <alignment vertical="center"/>
    </xf>
    <xf numFmtId="0" fontId="41" fillId="0" borderId="0" xfId="0" applyFont="1" applyBorder="1" applyAlignment="1">
      <alignment horizontal="center" vertical="center"/>
    </xf>
    <xf numFmtId="20" fontId="41" fillId="0" borderId="0" xfId="0" applyNumberFormat="1" applyFont="1" applyBorder="1" applyAlignment="1">
      <alignment horizontal="left" vertical="center"/>
    </xf>
    <xf numFmtId="14" fontId="41" fillId="0" borderId="0" xfId="0" applyNumberFormat="1" applyFont="1" applyBorder="1" applyAlignment="1">
      <alignment vertical="center"/>
    </xf>
    <xf numFmtId="0" fontId="43" fillId="0" borderId="68" xfId="0" applyFont="1" applyBorder="1" applyAlignment="1">
      <alignment horizontal="left" vertical="center"/>
    </xf>
    <xf numFmtId="0" fontId="42" fillId="0" borderId="68" xfId="0" applyFont="1" applyBorder="1" applyAlignment="1">
      <alignment vertical="center"/>
    </xf>
    <xf numFmtId="0" fontId="43" fillId="0" borderId="68" xfId="0" applyFont="1" applyBorder="1" applyAlignment="1">
      <alignment horizontal="center" vertical="center"/>
    </xf>
    <xf numFmtId="0" fontId="42" fillId="0" borderId="68" xfId="0" applyFont="1" applyBorder="1" applyAlignment="1">
      <alignment horizontal="center" vertical="center"/>
    </xf>
    <xf numFmtId="0" fontId="43" fillId="0" borderId="68" xfId="0" applyFont="1" applyBorder="1" applyAlignment="1">
      <alignment vertical="center"/>
    </xf>
    <xf numFmtId="0" fontId="43" fillId="0" borderId="20" xfId="0" applyFont="1" applyBorder="1" applyAlignment="1">
      <alignment horizontal="right" vertical="center"/>
    </xf>
    <xf numFmtId="0" fontId="42" fillId="0" borderId="20" xfId="0" applyFont="1" applyBorder="1" applyAlignment="1">
      <alignment horizontal="right" vertical="center"/>
    </xf>
    <xf numFmtId="0" fontId="42" fillId="0" borderId="32" xfId="0" applyFont="1" applyBorder="1" applyAlignment="1">
      <alignment vertical="center"/>
    </xf>
    <xf numFmtId="0" fontId="42" fillId="0" borderId="1" xfId="0" applyFont="1" applyBorder="1" applyAlignment="1">
      <alignment vertical="center"/>
    </xf>
    <xf numFmtId="43" fontId="42" fillId="0" borderId="20" xfId="0" applyNumberFormat="1" applyFont="1" applyBorder="1" applyAlignment="1">
      <alignment horizontal="right" vertical="center"/>
    </xf>
    <xf numFmtId="0" fontId="42" fillId="0" borderId="24" xfId="0" applyFont="1" applyBorder="1" applyAlignment="1">
      <alignment vertical="center"/>
    </xf>
    <xf numFmtId="0" fontId="42" fillId="0" borderId="10" xfId="0" applyFont="1" applyBorder="1" applyAlignment="1">
      <alignment vertical="center"/>
    </xf>
    <xf numFmtId="1" fontId="42" fillId="0" borderId="20" xfId="0" applyNumberFormat="1" applyFont="1" applyBorder="1" applyAlignment="1">
      <alignment horizontal="right" vertical="center"/>
    </xf>
    <xf numFmtId="0" fontId="42" fillId="0" borderId="5" xfId="0" applyFont="1" applyBorder="1" applyAlignment="1">
      <alignment vertical="center"/>
    </xf>
    <xf numFmtId="0" fontId="44" fillId="3" borderId="43" xfId="0" applyFont="1" applyFill="1" applyBorder="1" applyAlignment="1">
      <alignment horizontal="center" vertical="center"/>
    </xf>
    <xf numFmtId="0" fontId="44" fillId="3" borderId="44" xfId="0" applyFont="1" applyFill="1" applyBorder="1" applyAlignment="1">
      <alignment horizontal="center" vertical="center"/>
    </xf>
    <xf numFmtId="0" fontId="44" fillId="3" borderId="45" xfId="0" applyFont="1" applyFill="1" applyBorder="1" applyAlignment="1">
      <alignment horizontal="center" vertical="center"/>
    </xf>
    <xf numFmtId="0" fontId="44" fillId="3" borderId="46" xfId="0" applyFont="1" applyFill="1" applyBorder="1" applyAlignment="1">
      <alignment horizontal="center" vertical="center"/>
    </xf>
    <xf numFmtId="1" fontId="42" fillId="0" borderId="20" xfId="0" applyNumberFormat="1" applyFont="1" applyBorder="1" applyAlignment="1">
      <alignment horizontal="center" vertical="center"/>
    </xf>
    <xf numFmtId="0" fontId="44" fillId="0" borderId="48" xfId="0" applyFont="1" applyBorder="1" applyAlignment="1">
      <alignment vertical="center"/>
    </xf>
    <xf numFmtId="4" fontId="43" fillId="0" borderId="0" xfId="0" applyNumberFormat="1" applyFont="1" applyBorder="1" applyAlignment="1">
      <alignment vertical="center"/>
    </xf>
    <xf numFmtId="4" fontId="42" fillId="0" borderId="0" xfId="0" applyNumberFormat="1" applyFont="1" applyBorder="1" applyAlignment="1">
      <alignment vertical="center"/>
    </xf>
    <xf numFmtId="4" fontId="44" fillId="0" borderId="48" xfId="0" applyNumberFormat="1" applyFont="1" applyBorder="1" applyAlignment="1">
      <alignment vertical="center"/>
    </xf>
    <xf numFmtId="4" fontId="44" fillId="0" borderId="48" xfId="0" applyNumberFormat="1" applyFont="1" applyBorder="1" applyAlignment="1">
      <alignment horizontal="right" vertical="center"/>
    </xf>
    <xf numFmtId="4" fontId="43" fillId="0" borderId="0" xfId="0" applyNumberFormat="1" applyFont="1" applyBorder="1" applyAlignment="1">
      <alignment horizontal="right" vertical="center"/>
    </xf>
    <xf numFmtId="0" fontId="44" fillId="6" borderId="62" xfId="0" applyFont="1" applyFill="1" applyBorder="1" applyAlignment="1">
      <alignment horizontal="left" vertical="center"/>
    </xf>
    <xf numFmtId="0" fontId="44" fillId="6" borderId="63" xfId="0" applyFont="1" applyFill="1" applyBorder="1" applyAlignment="1">
      <alignment horizontal="center" vertical="center"/>
    </xf>
    <xf numFmtId="2" fontId="43" fillId="0" borderId="0" xfId="0" applyNumberFormat="1" applyFont="1" applyBorder="1" applyAlignment="1">
      <alignment horizontal="right" vertical="center"/>
    </xf>
    <xf numFmtId="2" fontId="43" fillId="0" borderId="0" xfId="0" applyNumberFormat="1" applyFont="1" applyBorder="1" applyAlignment="1">
      <alignment vertical="center"/>
    </xf>
    <xf numFmtId="2" fontId="44" fillId="7" borderId="45" xfId="0" applyNumberFormat="1" applyFont="1" applyFill="1" applyBorder="1" applyAlignment="1">
      <alignment horizontal="center" vertical="center"/>
    </xf>
    <xf numFmtId="0" fontId="44" fillId="7" borderId="45" xfId="0" applyFont="1" applyFill="1" applyBorder="1" applyAlignment="1">
      <alignment horizontal="center"/>
    </xf>
    <xf numFmtId="0" fontId="44" fillId="7" borderId="45" xfId="0" applyFont="1" applyFill="1" applyBorder="1" applyAlignment="1">
      <alignment horizontal="center" vertical="center"/>
    </xf>
    <xf numFmtId="0" fontId="42" fillId="8" borderId="66" xfId="0" applyFont="1" applyFill="1" applyBorder="1" applyAlignment="1">
      <alignment vertical="center"/>
    </xf>
    <xf numFmtId="0" fontId="47" fillId="0" borderId="0" xfId="0" applyFont="1" applyBorder="1" applyAlignment="1">
      <alignment horizontal="left" vertical="center"/>
    </xf>
    <xf numFmtId="0" fontId="48" fillId="0" borderId="0" xfId="0" applyFont="1" applyBorder="1" applyAlignment="1">
      <alignment horizontal="left" vertical="center"/>
    </xf>
    <xf numFmtId="0" fontId="45" fillId="0" borderId="0" xfId="0" applyFont="1" applyBorder="1" applyAlignment="1">
      <alignment horizontal="center" vertical="center"/>
    </xf>
    <xf numFmtId="0" fontId="44" fillId="7" borderId="45" xfId="0" applyFont="1" applyFill="1" applyBorder="1" applyAlignment="1">
      <alignment horizontal="left" vertical="center"/>
    </xf>
    <xf numFmtId="2" fontId="44" fillId="3" borderId="43" xfId="0" applyNumberFormat="1" applyFont="1" applyFill="1" applyBorder="1" applyAlignment="1">
      <alignment horizontal="center" vertical="center"/>
    </xf>
    <xf numFmtId="2" fontId="42" fillId="0" borderId="0" xfId="0" applyNumberFormat="1" applyFont="1" applyBorder="1" applyAlignment="1">
      <alignment horizontal="center" vertical="center"/>
    </xf>
    <xf numFmtId="4" fontId="41" fillId="0" borderId="20" xfId="0" applyNumberFormat="1" applyFont="1" applyBorder="1" applyAlignment="1">
      <alignment horizontal="right" vertical="center"/>
    </xf>
    <xf numFmtId="0" fontId="44" fillId="4" borderId="61" xfId="0" applyFont="1" applyFill="1" applyBorder="1" applyAlignment="1">
      <alignment horizontal="center" vertical="center"/>
    </xf>
    <xf numFmtId="4" fontId="44" fillId="4" borderId="61" xfId="0" applyNumberFormat="1" applyFont="1" applyFill="1" applyBorder="1" applyAlignment="1">
      <alignment horizontal="right" vertical="center"/>
    </xf>
    <xf numFmtId="4" fontId="42" fillId="0" borderId="0" xfId="0" applyNumberFormat="1" applyFont="1" applyBorder="1" applyAlignment="1">
      <alignment horizontal="right"/>
    </xf>
    <xf numFmtId="4" fontId="44" fillId="7" borderId="45" xfId="0" applyNumberFormat="1" applyFont="1" applyFill="1" applyBorder="1" applyAlignment="1">
      <alignment horizontal="right" vertical="center"/>
    </xf>
    <xf numFmtId="4" fontId="44" fillId="3" borderId="43" xfId="0" applyNumberFormat="1" applyFont="1" applyFill="1" applyBorder="1" applyAlignment="1">
      <alignment horizontal="right" vertical="center"/>
    </xf>
    <xf numFmtId="0" fontId="38" fillId="0" borderId="0" xfId="0" applyFont="1" applyBorder="1" applyAlignment="1">
      <alignment vertical="center"/>
    </xf>
    <xf numFmtId="0" fontId="49" fillId="0" borderId="0" xfId="0" applyFont="1" applyBorder="1" applyAlignment="1">
      <alignment vertical="center"/>
    </xf>
    <xf numFmtId="0" fontId="50" fillId="0" borderId="0" xfId="0" applyFont="1" applyBorder="1" applyAlignment="1">
      <alignment vertical="center"/>
    </xf>
    <xf numFmtId="4" fontId="36" fillId="0" borderId="20" xfId="0" applyNumberFormat="1" applyFont="1" applyBorder="1" applyAlignment="1">
      <alignment horizontal="right" vertical="center"/>
    </xf>
    <xf numFmtId="4" fontId="38" fillId="0" borderId="50" xfId="0" applyNumberFormat="1" applyFont="1" applyBorder="1" applyAlignment="1">
      <alignment horizontal="center" vertical="center"/>
    </xf>
    <xf numFmtId="4" fontId="38" fillId="4" borderId="59" xfId="0" applyNumberFormat="1" applyFont="1" applyFill="1" applyBorder="1" applyAlignment="1">
      <alignment horizontal="center" vertical="center"/>
    </xf>
    <xf numFmtId="4" fontId="38" fillId="0" borderId="51" xfId="0" applyNumberFormat="1" applyFont="1" applyBorder="1" applyAlignment="1">
      <alignment horizontal="center" vertical="center"/>
    </xf>
    <xf numFmtId="0" fontId="36" fillId="0" borderId="22" xfId="0" applyFont="1" applyBorder="1" applyAlignment="1">
      <alignment horizontal="center" vertical="center"/>
    </xf>
    <xf numFmtId="0" fontId="36" fillId="0" borderId="0" xfId="0" applyFont="1" applyBorder="1"/>
    <xf numFmtId="0" fontId="51" fillId="0" borderId="0" xfId="0" applyFont="1" applyBorder="1"/>
    <xf numFmtId="0" fontId="36" fillId="0" borderId="20" xfId="0" applyFont="1" applyBorder="1" applyAlignment="1">
      <alignment horizontal="center" vertical="center"/>
    </xf>
    <xf numFmtId="0" fontId="36" fillId="0" borderId="20" xfId="0" applyFont="1" applyBorder="1" applyAlignment="1">
      <alignment horizontal="right" vertical="center"/>
    </xf>
    <xf numFmtId="1" fontId="36" fillId="0" borderId="20" xfId="0" applyNumberFormat="1" applyFont="1" applyBorder="1" applyAlignment="1">
      <alignment horizontal="center" vertical="center"/>
    </xf>
    <xf numFmtId="0" fontId="36" fillId="0" borderId="63" xfId="0" applyFont="1" applyBorder="1" applyAlignment="1">
      <alignment horizontal="center" vertical="center"/>
    </xf>
    <xf numFmtId="4" fontId="36" fillId="0" borderId="63" xfId="0" applyNumberFormat="1" applyFont="1" applyBorder="1" applyAlignment="1">
      <alignment horizontal="right" vertical="center"/>
    </xf>
    <xf numFmtId="0" fontId="36" fillId="0" borderId="63" xfId="0" applyFont="1" applyBorder="1" applyAlignment="1">
      <alignment horizontal="right" vertical="center"/>
    </xf>
    <xf numFmtId="1" fontId="36" fillId="0" borderId="63" xfId="0" applyNumberFormat="1" applyFont="1" applyBorder="1" applyAlignment="1">
      <alignment horizontal="center" vertical="center"/>
    </xf>
    <xf numFmtId="2" fontId="38" fillId="0" borderId="51" xfId="0" applyNumberFormat="1" applyFont="1" applyBorder="1" applyAlignment="1">
      <alignment horizontal="center" vertical="center"/>
    </xf>
    <xf numFmtId="0" fontId="37" fillId="0" borderId="51" xfId="0" applyFont="1" applyBorder="1" applyAlignment="1">
      <alignment horizontal="center" vertical="center"/>
    </xf>
    <xf numFmtId="1" fontId="36" fillId="0" borderId="15" xfId="0" applyNumberFormat="1" applyFont="1" applyBorder="1" applyAlignment="1">
      <alignment horizontal="right" vertical="center"/>
    </xf>
    <xf numFmtId="0" fontId="36" fillId="0" borderId="13" xfId="0" applyFont="1" applyBorder="1" applyAlignment="1">
      <alignment horizontal="left" vertical="center"/>
    </xf>
    <xf numFmtId="0" fontId="36" fillId="0" borderId="18" xfId="0" applyFont="1" applyBorder="1" applyAlignment="1">
      <alignment horizontal="left" vertical="center"/>
    </xf>
    <xf numFmtId="4" fontId="36" fillId="0" borderId="11" xfId="0" applyNumberFormat="1" applyFont="1" applyBorder="1" applyAlignment="1">
      <alignment horizontal="center" vertical="center"/>
    </xf>
    <xf numFmtId="4" fontId="36" fillId="0" borderId="3" xfId="0" applyNumberFormat="1" applyFont="1" applyBorder="1" applyAlignment="1">
      <alignment horizontal="center" vertical="center"/>
    </xf>
    <xf numFmtId="4" fontId="38" fillId="0" borderId="3" xfId="0" applyNumberFormat="1" applyFont="1" applyBorder="1" applyAlignment="1">
      <alignment horizontal="center" vertical="center"/>
    </xf>
    <xf numFmtId="2" fontId="36" fillId="0" borderId="3" xfId="0" applyNumberFormat="1" applyFont="1" applyBorder="1" applyAlignment="1">
      <alignment horizontal="center" vertical="center"/>
    </xf>
    <xf numFmtId="0" fontId="36" fillId="0" borderId="3" xfId="0" applyFont="1" applyBorder="1" applyAlignment="1">
      <alignment horizontal="center" vertical="center"/>
    </xf>
    <xf numFmtId="0" fontId="37" fillId="0" borderId="52" xfId="0" applyFont="1" applyBorder="1" applyAlignment="1">
      <alignment vertical="center"/>
    </xf>
    <xf numFmtId="0" fontId="37" fillId="0" borderId="48" xfId="0" applyFont="1" applyBorder="1" applyAlignment="1">
      <alignment vertical="center"/>
    </xf>
    <xf numFmtId="0" fontId="37" fillId="0" borderId="49" xfId="0" applyFont="1" applyBorder="1" applyAlignment="1">
      <alignment vertical="center"/>
    </xf>
    <xf numFmtId="0" fontId="52" fillId="0" borderId="15" xfId="0" applyFont="1" applyBorder="1" applyAlignment="1">
      <alignment vertical="center"/>
    </xf>
    <xf numFmtId="0" fontId="36" fillId="0" borderId="13" xfId="0" applyFont="1" applyBorder="1" applyAlignment="1">
      <alignment vertical="center"/>
    </xf>
    <xf numFmtId="0" fontId="36" fillId="0" borderId="18" xfId="0" applyFont="1" applyBorder="1" applyAlignment="1">
      <alignment vertical="center"/>
    </xf>
    <xf numFmtId="0" fontId="36" fillId="0" borderId="15" xfId="0" applyFont="1" applyBorder="1" applyAlignment="1">
      <alignment vertical="center"/>
    </xf>
    <xf numFmtId="0" fontId="36" fillId="0" borderId="14" xfId="0" applyFont="1" applyBorder="1" applyAlignment="1">
      <alignment vertical="center"/>
    </xf>
    <xf numFmtId="0" fontId="36" fillId="0" borderId="16" xfId="0" applyFont="1" applyBorder="1" applyAlignment="1">
      <alignment vertical="center"/>
    </xf>
    <xf numFmtId="0" fontId="37" fillId="4" borderId="56" xfId="0" applyFont="1" applyFill="1" applyBorder="1" applyAlignment="1">
      <alignment vertical="center"/>
    </xf>
    <xf numFmtId="0" fontId="37" fillId="4" borderId="57" xfId="0" applyFont="1" applyFill="1" applyBorder="1" applyAlignment="1">
      <alignment vertical="center"/>
    </xf>
    <xf numFmtId="0" fontId="37" fillId="4" borderId="58" xfId="0" applyFont="1" applyFill="1" applyBorder="1" applyAlignment="1">
      <alignment vertical="center"/>
    </xf>
    <xf numFmtId="4" fontId="37" fillId="4" borderId="60" xfId="0" applyNumberFormat="1" applyFont="1" applyFill="1" applyBorder="1" applyAlignment="1">
      <alignment horizontal="center" vertical="center"/>
    </xf>
    <xf numFmtId="0" fontId="53" fillId="4" borderId="60" xfId="0" applyFont="1" applyFill="1" applyBorder="1" applyAlignment="1">
      <alignment horizontal="center" vertical="center"/>
    </xf>
    <xf numFmtId="0" fontId="37" fillId="6" borderId="63" xfId="0" applyFont="1" applyFill="1" applyBorder="1" applyAlignment="1">
      <alignment horizontal="center" vertical="center"/>
    </xf>
    <xf numFmtId="0" fontId="54" fillId="0" borderId="0" xfId="0" applyFont="1" applyBorder="1"/>
    <xf numFmtId="0" fontId="32" fillId="0" borderId="0" xfId="0" applyFont="1" applyBorder="1"/>
    <xf numFmtId="0" fontId="36" fillId="0" borderId="23" xfId="0" applyFont="1" applyBorder="1" applyAlignment="1">
      <alignment horizontal="center" vertical="center"/>
    </xf>
    <xf numFmtId="4" fontId="55" fillId="5" borderId="21" xfId="0" applyNumberFormat="1" applyFont="1" applyFill="1" applyBorder="1" applyAlignment="1">
      <alignment vertical="center"/>
    </xf>
    <xf numFmtId="4" fontId="55" fillId="5" borderId="7" xfId="0" applyNumberFormat="1" applyFont="1" applyFill="1" applyBorder="1" applyAlignment="1">
      <alignment vertical="center"/>
    </xf>
    <xf numFmtId="4" fontId="55" fillId="5" borderId="1" xfId="0" applyNumberFormat="1" applyFont="1" applyFill="1" applyBorder="1" applyAlignment="1">
      <alignment vertical="center"/>
    </xf>
    <xf numFmtId="0" fontId="55" fillId="5" borderId="3" xfId="0" applyFont="1" applyFill="1" applyBorder="1" applyAlignment="1">
      <alignment vertical="center"/>
    </xf>
    <xf numFmtId="0" fontId="52" fillId="0" borderId="3" xfId="0" applyFont="1" applyBorder="1" applyAlignment="1">
      <alignment vertical="center"/>
    </xf>
    <xf numFmtId="0" fontId="36" fillId="0" borderId="3" xfId="0" applyFont="1" applyBorder="1" applyAlignment="1">
      <alignment vertical="center"/>
    </xf>
    <xf numFmtId="4" fontId="36" fillId="0" borderId="3" xfId="0" applyNumberFormat="1" applyFont="1" applyBorder="1" applyAlignment="1">
      <alignment vertical="center"/>
    </xf>
    <xf numFmtId="4" fontId="36" fillId="2" borderId="3" xfId="0" applyNumberFormat="1" applyFont="1" applyFill="1" applyBorder="1" applyAlignment="1">
      <alignment vertical="center"/>
    </xf>
    <xf numFmtId="1" fontId="36" fillId="0" borderId="3" xfId="0" applyNumberFormat="1" applyFont="1" applyBorder="1" applyAlignment="1">
      <alignment vertical="center"/>
    </xf>
    <xf numFmtId="0" fontId="36" fillId="0" borderId="5" xfId="0" applyFont="1" applyBorder="1" applyAlignment="1">
      <alignment vertical="center"/>
    </xf>
    <xf numFmtId="4" fontId="36" fillId="0" borderId="6" xfId="0" applyNumberFormat="1" applyFont="1" applyBorder="1" applyAlignment="1">
      <alignment vertical="center"/>
    </xf>
    <xf numFmtId="0" fontId="37" fillId="0" borderId="55" xfId="0" applyFont="1" applyBorder="1" applyAlignment="1">
      <alignment vertical="center"/>
    </xf>
    <xf numFmtId="4" fontId="37" fillId="4" borderId="61" xfId="0" applyNumberFormat="1" applyFont="1" applyFill="1" applyBorder="1" applyAlignment="1">
      <alignment vertical="center"/>
    </xf>
    <xf numFmtId="0" fontId="33" fillId="0" borderId="9" xfId="0" applyFont="1"/>
    <xf numFmtId="0" fontId="57" fillId="0" borderId="9" xfId="0" applyFont="1"/>
    <xf numFmtId="0" fontId="33" fillId="0" borderId="0" xfId="0" applyFont="1" applyBorder="1"/>
    <xf numFmtId="0" fontId="32" fillId="0" borderId="1" xfId="0" applyFont="1" applyBorder="1"/>
    <xf numFmtId="0" fontId="32" fillId="0" borderId="0" xfId="0" applyFont="1" applyBorder="1" applyAlignment="1">
      <alignment horizontal="left"/>
    </xf>
    <xf numFmtId="4" fontId="32" fillId="0" borderId="0" xfId="0" applyNumberFormat="1" applyFont="1" applyBorder="1" applyAlignment="1">
      <alignment horizontal="center"/>
    </xf>
    <xf numFmtId="4" fontId="32" fillId="0" borderId="0" xfId="0" applyNumberFormat="1" applyFont="1" applyBorder="1" applyAlignment="1">
      <alignment horizontal="right"/>
    </xf>
    <xf numFmtId="0" fontId="32" fillId="0" borderId="9" xfId="0" applyFont="1"/>
    <xf numFmtId="4" fontId="32" fillId="0" borderId="9" xfId="0" applyNumberFormat="1" applyFont="1" applyAlignment="1">
      <alignment horizontal="center"/>
    </xf>
    <xf numFmtId="4" fontId="32" fillId="0" borderId="9" xfId="0" applyNumberFormat="1" applyFont="1" applyAlignment="1">
      <alignment horizontal="right"/>
    </xf>
    <xf numFmtId="4" fontId="32" fillId="0" borderId="34" xfId="0" applyNumberFormat="1" applyFont="1" applyBorder="1" applyAlignment="1">
      <alignment horizontal="center"/>
    </xf>
    <xf numFmtId="4" fontId="32" fillId="0" borderId="34" xfId="0" applyNumberFormat="1" applyFont="1" applyBorder="1" applyAlignment="1">
      <alignment horizontal="right"/>
    </xf>
    <xf numFmtId="0" fontId="34" fillId="0" borderId="9" xfId="0" applyFont="1" applyAlignment="1">
      <alignment horizontal="right"/>
    </xf>
    <xf numFmtId="4" fontId="35" fillId="0" borderId="9" xfId="0" applyNumberFormat="1" applyFont="1" applyAlignment="1">
      <alignment horizontal="center"/>
    </xf>
    <xf numFmtId="4" fontId="35" fillId="0" borderId="9" xfId="0" applyNumberFormat="1" applyFont="1" applyAlignment="1">
      <alignment horizontal="right"/>
    </xf>
    <xf numFmtId="4" fontId="35" fillId="0" borderId="34" xfId="0" applyNumberFormat="1" applyFont="1" applyBorder="1" applyAlignment="1">
      <alignment horizontal="center"/>
    </xf>
    <xf numFmtId="4" fontId="35" fillId="0" borderId="34" xfId="0" applyNumberFormat="1" applyFont="1" applyBorder="1" applyAlignment="1">
      <alignment horizontal="right"/>
    </xf>
    <xf numFmtId="4" fontId="33" fillId="0" borderId="0" xfId="0" applyNumberFormat="1" applyFont="1" applyBorder="1"/>
    <xf numFmtId="0" fontId="36" fillId="0" borderId="4" xfId="0" applyFont="1" applyBorder="1"/>
    <xf numFmtId="0" fontId="52" fillId="0" borderId="0" xfId="0" applyFont="1" applyBorder="1"/>
    <xf numFmtId="0" fontId="36" fillId="0" borderId="1" xfId="0" applyFont="1" applyBorder="1"/>
    <xf numFmtId="0" fontId="54" fillId="0" borderId="4" xfId="0" applyFont="1" applyBorder="1"/>
    <xf numFmtId="0" fontId="58" fillId="9" borderId="69" xfId="0" applyFont="1" applyFill="1" applyBorder="1" applyAlignment="1">
      <alignment horizontal="left" vertical="center"/>
    </xf>
    <xf numFmtId="0" fontId="54" fillId="9" borderId="12" xfId="0" applyFont="1" applyFill="1" applyBorder="1" applyAlignment="1">
      <alignment horizontal="left" vertical="center"/>
    </xf>
    <xf numFmtId="0" fontId="54" fillId="9" borderId="70" xfId="0" applyFont="1" applyFill="1" applyBorder="1"/>
    <xf numFmtId="0" fontId="58" fillId="0" borderId="0" xfId="0" applyFont="1" applyBorder="1"/>
    <xf numFmtId="0" fontId="54" fillId="9" borderId="33" xfId="0" applyFont="1" applyFill="1" applyBorder="1" applyAlignment="1">
      <alignment horizontal="left" vertical="center"/>
    </xf>
    <xf numFmtId="0" fontId="54" fillId="9" borderId="68" xfId="0" applyFont="1" applyFill="1" applyBorder="1" applyAlignment="1">
      <alignment horizontal="left" vertical="center"/>
    </xf>
    <xf numFmtId="0" fontId="58" fillId="9" borderId="68" xfId="0" applyFont="1" applyFill="1" applyBorder="1" applyAlignment="1">
      <alignment horizontal="left" vertical="center"/>
    </xf>
    <xf numFmtId="0" fontId="54" fillId="9" borderId="19" xfId="0" applyFont="1" applyFill="1" applyBorder="1"/>
    <xf numFmtId="0" fontId="58" fillId="9" borderId="33" xfId="0" applyFont="1" applyFill="1" applyBorder="1" applyAlignment="1">
      <alignment horizontal="left" vertical="center"/>
    </xf>
    <xf numFmtId="0" fontId="58" fillId="9" borderId="19" xfId="0" applyFont="1" applyFill="1" applyBorder="1"/>
    <xf numFmtId="49" fontId="54" fillId="0" borderId="0" xfId="0" applyNumberFormat="1" applyFont="1" applyBorder="1"/>
    <xf numFmtId="0" fontId="54" fillId="9" borderId="33" xfId="0" applyFont="1" applyFill="1" applyBorder="1"/>
    <xf numFmtId="0" fontId="54" fillId="9" borderId="68" xfId="0" applyFont="1" applyFill="1" applyBorder="1"/>
    <xf numFmtId="0" fontId="54" fillId="9" borderId="35" xfId="0" applyFont="1" applyFill="1" applyBorder="1"/>
    <xf numFmtId="0" fontId="54" fillId="9" borderId="34" xfId="0" applyFont="1" applyFill="1" applyBorder="1"/>
    <xf numFmtId="0" fontId="54" fillId="9" borderId="36" xfId="0" applyFont="1" applyFill="1" applyBorder="1"/>
    <xf numFmtId="0" fontId="58" fillId="0" borderId="4" xfId="0" applyFont="1" applyBorder="1"/>
    <xf numFmtId="0" fontId="58" fillId="0" borderId="9" xfId="0" applyFont="1"/>
    <xf numFmtId="0" fontId="54" fillId="0" borderId="1" xfId="0" applyFont="1" applyBorder="1"/>
    <xf numFmtId="0" fontId="54" fillId="0" borderId="2" xfId="0" applyFont="1" applyBorder="1"/>
    <xf numFmtId="0" fontId="58" fillId="0" borderId="0" xfId="0" applyFont="1" applyBorder="1" applyAlignment="1">
      <alignment horizontal="right"/>
    </xf>
    <xf numFmtId="14" fontId="54" fillId="0" borderId="0" xfId="0" applyNumberFormat="1" applyFont="1" applyBorder="1" applyAlignment="1">
      <alignment horizontal="left"/>
    </xf>
    <xf numFmtId="14" fontId="58" fillId="0" borderId="0" xfId="0" applyNumberFormat="1" applyFont="1" applyBorder="1" applyAlignment="1">
      <alignment horizontal="left"/>
    </xf>
    <xf numFmtId="0" fontId="58" fillId="0" borderId="4" xfId="0" applyFont="1" applyBorder="1" applyAlignment="1">
      <alignment horizontal="left"/>
    </xf>
    <xf numFmtId="17" fontId="54" fillId="0" borderId="0" xfId="0" applyNumberFormat="1" applyFont="1" applyBorder="1"/>
    <xf numFmtId="0" fontId="54" fillId="0" borderId="0" xfId="0" applyFont="1" applyBorder="1" applyAlignment="1">
      <alignment horizontal="left"/>
    </xf>
    <xf numFmtId="0" fontId="58" fillId="0" borderId="0" xfId="0" applyFont="1" applyBorder="1" applyAlignment="1">
      <alignment horizontal="left"/>
    </xf>
    <xf numFmtId="0" fontId="54" fillId="0" borderId="4" xfId="0" applyFont="1" applyBorder="1" applyAlignment="1">
      <alignment horizontal="left"/>
    </xf>
    <xf numFmtId="0" fontId="58" fillId="0" borderId="1" xfId="0" applyFont="1" applyBorder="1"/>
    <xf numFmtId="0" fontId="58" fillId="0" borderId="1" xfId="0" applyFont="1" applyBorder="1" applyAlignment="1">
      <alignment horizontal="left"/>
    </xf>
    <xf numFmtId="0" fontId="58" fillId="0" borderId="1" xfId="0" applyFont="1" applyBorder="1" applyAlignment="1">
      <alignment horizontal="right"/>
    </xf>
    <xf numFmtId="0" fontId="54" fillId="0" borderId="1" xfId="0" applyFont="1" applyBorder="1" applyAlignment="1">
      <alignment horizontal="left"/>
    </xf>
    <xf numFmtId="0" fontId="54" fillId="0" borderId="9" xfId="0" applyFont="1"/>
    <xf numFmtId="0" fontId="54" fillId="0" borderId="8" xfId="0" applyFont="1" applyBorder="1"/>
    <xf numFmtId="0" fontId="40" fillId="0" borderId="0" xfId="0" applyFont="1" applyBorder="1"/>
    <xf numFmtId="0" fontId="40" fillId="0" borderId="0" xfId="0" applyFont="1" applyBorder="1" applyAlignment="1">
      <alignment horizontal="center" vertical="center"/>
    </xf>
    <xf numFmtId="0" fontId="59" fillId="0" borderId="9" xfId="0" applyFont="1"/>
    <xf numFmtId="2" fontId="60" fillId="0" borderId="20" xfId="0" applyNumberFormat="1" applyFont="1" applyBorder="1"/>
    <xf numFmtId="17" fontId="39" fillId="0" borderId="0" xfId="0" applyNumberFormat="1" applyFont="1" applyBorder="1" applyAlignment="1">
      <alignment vertical="center"/>
    </xf>
    <xf numFmtId="0" fontId="39" fillId="0" borderId="0" xfId="0" applyFont="1" applyBorder="1" applyAlignment="1">
      <alignment vertical="center"/>
    </xf>
    <xf numFmtId="4" fontId="38" fillId="0" borderId="47" xfId="0" applyNumberFormat="1" applyFont="1" applyBorder="1" applyAlignment="1">
      <alignment vertical="center"/>
    </xf>
    <xf numFmtId="0" fontId="38" fillId="0" borderId="50" xfId="0" applyFont="1" applyBorder="1" applyAlignment="1">
      <alignment vertical="center"/>
    </xf>
    <xf numFmtId="4" fontId="38" fillId="0" borderId="54" xfId="0" applyNumberFormat="1" applyFont="1" applyBorder="1" applyAlignment="1">
      <alignment vertical="center"/>
    </xf>
    <xf numFmtId="4" fontId="38" fillId="0" borderId="51" xfId="0" applyNumberFormat="1" applyFont="1" applyBorder="1" applyAlignment="1">
      <alignment vertical="center"/>
    </xf>
    <xf numFmtId="4" fontId="38" fillId="0" borderId="50" xfId="0" applyNumberFormat="1" applyFont="1" applyBorder="1" applyAlignment="1">
      <alignment vertical="center"/>
    </xf>
    <xf numFmtId="0" fontId="38" fillId="0" borderId="51" xfId="0" applyFont="1" applyBorder="1" applyAlignment="1">
      <alignment vertical="center"/>
    </xf>
    <xf numFmtId="4" fontId="51" fillId="0" borderId="20" xfId="0" applyNumberFormat="1" applyFont="1" applyBorder="1" applyAlignment="1">
      <alignment horizontal="right" vertical="center"/>
    </xf>
    <xf numFmtId="4" fontId="39" fillId="0" borderId="47" xfId="0" applyNumberFormat="1" applyFont="1" applyBorder="1" applyAlignment="1">
      <alignment vertical="center"/>
    </xf>
    <xf numFmtId="4" fontId="62" fillId="5" borderId="1" xfId="0" applyNumberFormat="1" applyFont="1" applyFill="1" applyBorder="1" applyAlignment="1">
      <alignment vertical="center"/>
    </xf>
    <xf numFmtId="4" fontId="39" fillId="0" borderId="48" xfId="0" applyNumberFormat="1" applyFont="1" applyBorder="1" applyAlignment="1">
      <alignment vertical="center"/>
    </xf>
    <xf numFmtId="4" fontId="51" fillId="2" borderId="3" xfId="0" applyNumberFormat="1" applyFont="1" applyFill="1" applyBorder="1" applyAlignment="1">
      <alignment vertical="center"/>
    </xf>
    <xf numFmtId="4" fontId="51" fillId="0" borderId="6" xfId="0" applyNumberFormat="1" applyFont="1" applyBorder="1" applyAlignment="1">
      <alignment vertical="center"/>
    </xf>
    <xf numFmtId="2" fontId="33" fillId="0" borderId="3" xfId="0" applyNumberFormat="1" applyFont="1" applyBorder="1" applyAlignment="1">
      <alignment vertical="center"/>
    </xf>
    <xf numFmtId="0" fontId="43" fillId="0" borderId="20" xfId="0" applyFont="1" applyBorder="1" applyAlignment="1">
      <alignment horizontal="left" vertical="center"/>
    </xf>
    <xf numFmtId="0" fontId="51" fillId="0" borderId="14" xfId="0" applyFont="1" applyBorder="1" applyAlignment="1">
      <alignment vertical="center"/>
    </xf>
    <xf numFmtId="0" fontId="40" fillId="6" borderId="63" xfId="0" applyFont="1" applyFill="1" applyBorder="1" applyAlignment="1">
      <alignment horizontal="center" vertical="center"/>
    </xf>
    <xf numFmtId="4" fontId="38" fillId="6" borderId="63" xfId="0" applyNumberFormat="1" applyFont="1" applyFill="1" applyBorder="1" applyAlignment="1">
      <alignment horizontal="center" vertical="center"/>
    </xf>
    <xf numFmtId="4" fontId="34" fillId="4" borderId="61" xfId="0" applyNumberFormat="1" applyFont="1" applyFill="1" applyBorder="1" applyAlignment="1">
      <alignment horizontal="right" vertical="center"/>
    </xf>
    <xf numFmtId="0" fontId="39" fillId="0" borderId="0" xfId="0" applyFont="1" applyBorder="1"/>
    <xf numFmtId="4" fontId="19" fillId="0" borderId="20" xfId="0" applyNumberFormat="1" applyFont="1" applyBorder="1" applyAlignment="1">
      <alignment horizontal="right" vertical="center"/>
    </xf>
    <xf numFmtId="0" fontId="0" fillId="10" borderId="0" xfId="0" applyFill="1" applyBorder="1"/>
    <xf numFmtId="0" fontId="36" fillId="0" borderId="14" xfId="0" applyFont="1" applyBorder="1" applyAlignment="1">
      <alignment horizontal="left"/>
    </xf>
    <xf numFmtId="0" fontId="36" fillId="0" borderId="16" xfId="0" applyFont="1" applyBorder="1" applyAlignment="1">
      <alignment horizontal="left"/>
    </xf>
    <xf numFmtId="0" fontId="36" fillId="0" borderId="20" xfId="0" applyFont="1" applyBorder="1" applyAlignment="1">
      <alignment horizontal="left" vertical="center"/>
    </xf>
    <xf numFmtId="0" fontId="54" fillId="0" borderId="19" xfId="0" applyFont="1" applyBorder="1"/>
    <xf numFmtId="0" fontId="0" fillId="0" borderId="19" xfId="0" applyBorder="1"/>
    <xf numFmtId="0" fontId="54" fillId="0" borderId="75" xfId="0" applyFont="1" applyBorder="1"/>
    <xf numFmtId="0" fontId="54" fillId="0" borderId="13" xfId="0" applyFont="1" applyBorder="1"/>
    <xf numFmtId="0" fontId="54" fillId="0" borderId="18" xfId="0" applyFont="1" applyBorder="1"/>
    <xf numFmtId="0" fontId="54" fillId="0" borderId="36" xfId="0" applyFont="1" applyBorder="1"/>
    <xf numFmtId="166" fontId="0" fillId="0" borderId="0" xfId="0" applyNumberFormat="1" applyBorder="1"/>
    <xf numFmtId="0" fontId="3" fillId="0" borderId="0" xfId="0" applyFont="1" applyBorder="1"/>
    <xf numFmtId="14" fontId="27" fillId="0" borderId="0" xfId="0" applyNumberFormat="1" applyFont="1" applyBorder="1" applyAlignment="1">
      <alignment vertical="center"/>
    </xf>
    <xf numFmtId="0" fontId="36" fillId="0" borderId="20" xfId="0" applyFont="1" applyBorder="1" applyAlignment="1">
      <alignment horizontal="left" vertical="center"/>
    </xf>
    <xf numFmtId="0" fontId="36" fillId="0" borderId="14" xfId="0" applyFont="1" applyBorder="1" applyAlignment="1">
      <alignment horizontal="left"/>
    </xf>
    <xf numFmtId="0" fontId="36" fillId="0" borderId="16" xfId="0" applyFont="1" applyBorder="1" applyAlignment="1">
      <alignment horizontal="left"/>
    </xf>
    <xf numFmtId="0" fontId="36" fillId="0" borderId="41" xfId="0" applyFont="1" applyBorder="1" applyAlignment="1">
      <alignment horizontal="left" vertical="center"/>
    </xf>
    <xf numFmtId="2" fontId="43" fillId="0" borderId="20" xfId="0" applyNumberFormat="1" applyFont="1" applyBorder="1" applyAlignment="1">
      <alignment horizontal="center" vertical="center"/>
    </xf>
    <xf numFmtId="0" fontId="42" fillId="0" borderId="16" xfId="0" applyFont="1" applyBorder="1"/>
    <xf numFmtId="4" fontId="37" fillId="4" borderId="56" xfId="0" applyNumberFormat="1" applyFont="1" applyFill="1" applyBorder="1" applyAlignment="1">
      <alignment horizontal="center" vertical="center"/>
    </xf>
    <xf numFmtId="4" fontId="37" fillId="4" borderId="57" xfId="0" applyNumberFormat="1" applyFont="1" applyFill="1" applyBorder="1"/>
    <xf numFmtId="0" fontId="37" fillId="0" borderId="53" xfId="0" applyFont="1" applyBorder="1" applyAlignment="1">
      <alignment horizontal="left" vertical="center"/>
    </xf>
    <xf numFmtId="0" fontId="37" fillId="0" borderId="48" xfId="0" applyFont="1" applyBorder="1"/>
    <xf numFmtId="0" fontId="37" fillId="0" borderId="49" xfId="0" applyFont="1" applyBorder="1"/>
    <xf numFmtId="0" fontId="43" fillId="0" borderId="42" xfId="0" applyFont="1" applyBorder="1" applyAlignment="1">
      <alignment horizontal="left" vertical="center"/>
    </xf>
    <xf numFmtId="0" fontId="42" fillId="0" borderId="5" xfId="0" applyFont="1" applyBorder="1"/>
    <xf numFmtId="0" fontId="42" fillId="0" borderId="26" xfId="0" applyFont="1" applyBorder="1"/>
    <xf numFmtId="4" fontId="44" fillId="3" borderId="64" xfId="0" applyNumberFormat="1" applyFont="1" applyFill="1" applyBorder="1" applyAlignment="1">
      <alignment horizontal="right" vertical="center"/>
    </xf>
    <xf numFmtId="0" fontId="42" fillId="0" borderId="36" xfId="0" applyFont="1" applyBorder="1"/>
    <xf numFmtId="4" fontId="42" fillId="0" borderId="73" xfId="0" applyNumberFormat="1" applyFont="1" applyBorder="1" applyAlignment="1">
      <alignment horizontal="right" vertical="center"/>
    </xf>
    <xf numFmtId="4" fontId="42" fillId="0" borderId="74" xfId="0" applyNumberFormat="1" applyFont="1" applyBorder="1" applyAlignment="1">
      <alignment horizontal="right" vertical="center"/>
    </xf>
    <xf numFmtId="4" fontId="42" fillId="0" borderId="71" xfId="0" applyNumberFormat="1" applyFont="1" applyBorder="1" applyAlignment="1">
      <alignment horizontal="right" vertical="center"/>
    </xf>
    <xf numFmtId="4" fontId="42" fillId="0" borderId="72" xfId="0" applyNumberFormat="1" applyFont="1" applyBorder="1" applyAlignment="1">
      <alignment horizontal="right" vertical="center"/>
    </xf>
    <xf numFmtId="4" fontId="43" fillId="0" borderId="20" xfId="0" applyNumberFormat="1" applyFont="1" applyBorder="1" applyAlignment="1">
      <alignment horizontal="right" vertical="center"/>
    </xf>
    <xf numFmtId="4" fontId="43" fillId="0" borderId="16" xfId="0" applyNumberFormat="1" applyFont="1" applyBorder="1" applyAlignment="1">
      <alignment horizontal="right"/>
    </xf>
    <xf numFmtId="0" fontId="43" fillId="0" borderId="16" xfId="0" applyFont="1" applyBorder="1"/>
    <xf numFmtId="0" fontId="44" fillId="7" borderId="45" xfId="0" applyFont="1" applyFill="1" applyBorder="1" applyAlignment="1">
      <alignment horizontal="center" vertical="center"/>
    </xf>
    <xf numFmtId="0" fontId="44" fillId="7" borderId="45" xfId="0" applyFont="1" applyFill="1" applyBorder="1" applyAlignment="1">
      <alignment horizontal="center"/>
    </xf>
    <xf numFmtId="0" fontId="43" fillId="0" borderId="20" xfId="0" applyFont="1" applyBorder="1" applyAlignment="1">
      <alignment vertical="center"/>
    </xf>
    <xf numFmtId="0" fontId="43" fillId="0" borderId="14" xfId="0" applyFont="1" applyBorder="1"/>
    <xf numFmtId="4" fontId="44" fillId="0" borderId="20" xfId="0" applyNumberFormat="1" applyFont="1" applyBorder="1" applyAlignment="1">
      <alignment horizontal="right" vertical="center"/>
    </xf>
    <xf numFmtId="0" fontId="43" fillId="0" borderId="20" xfId="0" applyFont="1" applyBorder="1" applyAlignment="1">
      <alignment horizontal="left" vertical="center"/>
    </xf>
    <xf numFmtId="4" fontId="42" fillId="0" borderId="20" xfId="0" applyNumberFormat="1" applyFont="1" applyBorder="1" applyAlignment="1">
      <alignment horizontal="right" vertical="center"/>
    </xf>
    <xf numFmtId="4" fontId="44" fillId="7" borderId="67" xfId="0" applyNumberFormat="1" applyFont="1" applyFill="1" applyBorder="1" applyAlignment="1">
      <alignment horizontal="right" vertical="center"/>
    </xf>
    <xf numFmtId="0" fontId="42" fillId="0" borderId="67" xfId="0" applyFont="1" applyBorder="1" applyAlignment="1">
      <alignment vertical="center"/>
    </xf>
    <xf numFmtId="4" fontId="44" fillId="4" borderId="61" xfId="0" applyNumberFormat="1" applyFont="1" applyFill="1" applyBorder="1" applyAlignment="1">
      <alignment horizontal="right" vertical="center"/>
    </xf>
    <xf numFmtId="4" fontId="44" fillId="4" borderId="58" xfId="0" applyNumberFormat="1" applyFont="1" applyFill="1" applyBorder="1" applyAlignment="1">
      <alignment horizontal="right"/>
    </xf>
    <xf numFmtId="0" fontId="44" fillId="3" borderId="43" xfId="0" applyFont="1" applyFill="1" applyBorder="1" applyAlignment="1">
      <alignment horizontal="center" vertical="center"/>
    </xf>
    <xf numFmtId="0" fontId="44" fillId="3" borderId="46" xfId="0" applyFont="1" applyFill="1" applyBorder="1" applyAlignment="1">
      <alignment horizontal="center" vertical="center"/>
    </xf>
    <xf numFmtId="0" fontId="44" fillId="7" borderId="66" xfId="0" applyFont="1" applyFill="1" applyBorder="1" applyAlignment="1">
      <alignment horizontal="center"/>
    </xf>
    <xf numFmtId="0" fontId="44" fillId="7" borderId="65" xfId="0" applyFont="1" applyFill="1" applyBorder="1" applyAlignment="1">
      <alignment horizontal="center"/>
    </xf>
    <xf numFmtId="0" fontId="42" fillId="0" borderId="0" xfId="0" applyFont="1" applyBorder="1" applyAlignment="1">
      <alignment vertical="center" wrapText="1"/>
    </xf>
    <xf numFmtId="0" fontId="41" fillId="0" borderId="0" xfId="0" applyFont="1" applyBorder="1" applyAlignment="1">
      <alignment horizontal="left" vertical="top" wrapText="1"/>
    </xf>
    <xf numFmtId="0" fontId="44" fillId="3" borderId="64" xfId="0" applyFont="1" applyFill="1" applyBorder="1" applyAlignment="1">
      <alignment horizontal="center" vertical="center"/>
    </xf>
    <xf numFmtId="0" fontId="43" fillId="0" borderId="0" xfId="0" applyFont="1" applyBorder="1" applyAlignment="1">
      <alignment horizontal="left" vertical="center"/>
    </xf>
    <xf numFmtId="0" fontId="42" fillId="0" borderId="0" xfId="0" applyFont="1" applyBorder="1" applyAlignment="1">
      <alignment vertical="center"/>
    </xf>
    <xf numFmtId="0" fontId="43" fillId="0" borderId="0" xfId="0" applyFont="1" applyBorder="1" applyAlignment="1">
      <alignment vertical="center"/>
    </xf>
    <xf numFmtId="0" fontId="44" fillId="4" borderId="61" xfId="0" applyFont="1" applyFill="1" applyBorder="1" applyAlignment="1">
      <alignment horizontal="left" vertical="center"/>
    </xf>
    <xf numFmtId="0" fontId="44" fillId="4" borderId="57" xfId="0" applyFont="1" applyFill="1" applyBorder="1"/>
    <xf numFmtId="0" fontId="44" fillId="4" borderId="58" xfId="0" applyFont="1" applyFill="1" applyBorder="1"/>
    <xf numFmtId="0" fontId="42" fillId="0" borderId="20" xfId="0" applyFont="1" applyBorder="1" applyAlignment="1">
      <alignment vertical="center"/>
    </xf>
    <xf numFmtId="0" fontId="42" fillId="0" borderId="14" xfId="0" applyFont="1" applyBorder="1"/>
    <xf numFmtId="0" fontId="42" fillId="0" borderId="0" xfId="0" applyFont="1" applyBorder="1" applyAlignment="1">
      <alignment horizontal="left" vertical="center"/>
    </xf>
    <xf numFmtId="0" fontId="42" fillId="0" borderId="0" xfId="0" applyFont="1" applyBorder="1" applyAlignment="1">
      <alignment horizontal="left"/>
    </xf>
    <xf numFmtId="0" fontId="42" fillId="0" borderId="20" xfId="0" applyFont="1" applyBorder="1" applyAlignment="1">
      <alignment horizontal="center" vertical="center"/>
    </xf>
    <xf numFmtId="0" fontId="42" fillId="0" borderId="0" xfId="0" applyFont="1" applyBorder="1"/>
    <xf numFmtId="1" fontId="42" fillId="0" borderId="20" xfId="0" applyNumberFormat="1" applyFont="1" applyBorder="1" applyAlignment="1">
      <alignment vertical="center"/>
    </xf>
    <xf numFmtId="14" fontId="12" fillId="0" borderId="68" xfId="0" applyNumberFormat="1" applyFont="1" applyBorder="1" applyAlignment="1">
      <alignment horizontal="left" vertical="center"/>
    </xf>
    <xf numFmtId="0" fontId="12" fillId="0" borderId="68" xfId="0" applyFont="1" applyBorder="1" applyAlignment="1">
      <alignment vertical="center"/>
    </xf>
    <xf numFmtId="0" fontId="42" fillId="0" borderId="0" xfId="0" applyFont="1" applyBorder="1" applyAlignment="1">
      <alignment horizontal="left" vertical="center" wrapText="1"/>
    </xf>
    <xf numFmtId="0" fontId="42" fillId="0" borderId="25" xfId="0" applyFont="1" applyBorder="1" applyAlignment="1">
      <alignment vertical="center"/>
    </xf>
    <xf numFmtId="0" fontId="34" fillId="0" borderId="0" xfId="0" applyFont="1" applyBorder="1" applyAlignment="1">
      <alignment horizontal="left" vertical="center"/>
    </xf>
    <xf numFmtId="0" fontId="35" fillId="0" borderId="0" xfId="0" applyFont="1" applyBorder="1" applyAlignment="1">
      <alignment vertical="center"/>
    </xf>
    <xf numFmtId="0" fontId="38" fillId="0" borderId="0" xfId="0" applyFont="1" applyBorder="1" applyAlignment="1">
      <alignment horizontal="left" vertical="center"/>
    </xf>
    <xf numFmtId="0" fontId="38" fillId="0" borderId="0" xfId="0" applyFont="1" applyBorder="1" applyAlignment="1">
      <alignment vertical="center"/>
    </xf>
    <xf numFmtId="2" fontId="44" fillId="0" borderId="0" xfId="0" applyNumberFormat="1" applyFont="1" applyBorder="1" applyAlignment="1">
      <alignment horizontal="left" vertical="center"/>
    </xf>
    <xf numFmtId="0" fontId="41" fillId="0" borderId="0" xfId="0" applyFont="1" applyBorder="1" applyAlignment="1">
      <alignment vertical="center"/>
    </xf>
    <xf numFmtId="0" fontId="44" fillId="0" borderId="0" xfId="0" applyFont="1" applyBorder="1" applyAlignment="1">
      <alignment horizontal="left" vertical="center"/>
    </xf>
    <xf numFmtId="0" fontId="36" fillId="0" borderId="15" xfId="0" applyFont="1" applyBorder="1" applyAlignment="1">
      <alignment horizontal="left" vertical="center"/>
    </xf>
    <xf numFmtId="0" fontId="36" fillId="0" borderId="14" xfId="0" applyFont="1" applyBorder="1" applyAlignment="1">
      <alignment horizontal="left" vertical="center"/>
    </xf>
    <xf numFmtId="0" fontId="36" fillId="0" borderId="62" xfId="0" applyFont="1" applyBorder="1" applyAlignment="1">
      <alignment horizontal="left" vertical="center"/>
    </xf>
    <xf numFmtId="0" fontId="44" fillId="3" borderId="45" xfId="0" applyFont="1" applyFill="1" applyBorder="1" applyAlignment="1">
      <alignment horizontal="center" vertical="center"/>
    </xf>
    <xf numFmtId="4" fontId="37" fillId="4" borderId="60" xfId="0" applyNumberFormat="1" applyFont="1" applyFill="1" applyBorder="1" applyAlignment="1">
      <alignment horizontal="center" vertical="center"/>
    </xf>
    <xf numFmtId="4" fontId="37" fillId="4" borderId="59" xfId="0" applyNumberFormat="1" applyFont="1" applyFill="1" applyBorder="1"/>
    <xf numFmtId="0" fontId="37" fillId="0" borderId="47" xfId="0" applyFont="1" applyBorder="1" applyAlignment="1">
      <alignment horizontal="left" vertical="center"/>
    </xf>
    <xf numFmtId="0" fontId="36" fillId="0" borderId="20" xfId="0" applyFont="1" applyBorder="1" applyAlignment="1">
      <alignment horizontal="left"/>
    </xf>
    <xf numFmtId="0" fontId="56" fillId="6" borderId="63" xfId="0" applyFont="1" applyFill="1" applyBorder="1" applyAlignment="1">
      <alignment horizontal="center" vertical="center"/>
    </xf>
    <xf numFmtId="0" fontId="56" fillId="6" borderId="62" xfId="0" applyFont="1" applyFill="1" applyBorder="1" applyAlignment="1">
      <alignment horizontal="center" vertical="center"/>
    </xf>
    <xf numFmtId="0" fontId="55" fillId="5" borderId="25" xfId="0" applyFont="1" applyFill="1" applyBorder="1" applyAlignment="1">
      <alignment horizontal="left" vertical="center"/>
    </xf>
    <xf numFmtId="0" fontId="55" fillId="5" borderId="34" xfId="0" applyFont="1" applyFill="1" applyBorder="1"/>
    <xf numFmtId="0" fontId="55" fillId="5" borderId="36" xfId="0" applyFont="1" applyFill="1" applyBorder="1"/>
    <xf numFmtId="4" fontId="44" fillId="3" borderId="43" xfId="0" applyNumberFormat="1" applyFont="1" applyFill="1" applyBorder="1" applyAlignment="1">
      <alignment horizontal="right" vertical="center"/>
    </xf>
    <xf numFmtId="4" fontId="44" fillId="3" borderId="46" xfId="0" applyNumberFormat="1" applyFont="1" applyFill="1" applyBorder="1" applyAlignment="1">
      <alignment horizontal="right" vertical="center"/>
    </xf>
    <xf numFmtId="49" fontId="54" fillId="9" borderId="19" xfId="0" applyNumberFormat="1" applyFont="1" applyFill="1" applyBorder="1" applyAlignment="1">
      <alignment horizontal="left" vertical="center"/>
    </xf>
    <xf numFmtId="0" fontId="54" fillId="9" borderId="19" xfId="0" applyFont="1" applyFill="1" applyBorder="1"/>
    <xf numFmtId="0" fontId="12" fillId="0" borderId="27" xfId="0" applyFont="1" applyBorder="1" applyAlignment="1">
      <alignment vertical="center" wrapText="1"/>
    </xf>
    <xf numFmtId="0" fontId="0" fillId="0" borderId="30" xfId="0" applyBorder="1"/>
    <xf numFmtId="0" fontId="0" fillId="0" borderId="31" xfId="0" applyBorder="1"/>
    <xf numFmtId="0" fontId="15" fillId="0" borderId="27" xfId="0" applyFont="1" applyBorder="1" applyAlignment="1">
      <alignment horizontal="left" vertical="top" wrapText="1"/>
    </xf>
    <xf numFmtId="0" fontId="6" fillId="0" borderId="9" xfId="0" applyFont="1" applyAlignment="1">
      <alignment horizontal="left" vertical="center" wrapText="1"/>
    </xf>
    <xf numFmtId="0" fontId="0" fillId="0" borderId="0" xfId="0" applyBorder="1"/>
    <xf numFmtId="0" fontId="15" fillId="0" borderId="0" xfId="0" applyFont="1" applyBorder="1"/>
    <xf numFmtId="0" fontId="18" fillId="0" borderId="0" xfId="0" applyFont="1" applyBorder="1"/>
    <xf numFmtId="0" fontId="19" fillId="0" borderId="9" xfId="0" applyFont="1"/>
    <xf numFmtId="0" fontId="18" fillId="0" borderId="9" xfId="0" applyFont="1"/>
    <xf numFmtId="0" fontId="18" fillId="0" borderId="0" xfId="0" applyFont="1" applyBorder="1" applyAlignment="1">
      <alignment horizontal="center"/>
    </xf>
    <xf numFmtId="0" fontId="1" fillId="0" borderId="9" xfId="0" applyFont="1" applyAlignment="1">
      <alignment vertical="center" wrapText="1"/>
    </xf>
    <xf numFmtId="0" fontId="61" fillId="0" borderId="13" xfId="0" applyFont="1" applyBorder="1" applyAlignment="1">
      <alignment horizontal="center" vertical="center"/>
    </xf>
    <xf numFmtId="0" fontId="10" fillId="0" borderId="37" xfId="0" applyFont="1" applyBorder="1" applyAlignment="1">
      <alignment horizontal="center"/>
    </xf>
    <xf numFmtId="0" fontId="0" fillId="0" borderId="13" xfId="0" applyBorder="1"/>
    <xf numFmtId="0" fontId="0" fillId="0" borderId="18" xfId="0" applyBorder="1"/>
    <xf numFmtId="0" fontId="10" fillId="0" borderId="25" xfId="0" applyFont="1" applyBorder="1" applyAlignment="1">
      <alignment horizontal="center"/>
    </xf>
    <xf numFmtId="0" fontId="0" fillId="0" borderId="34" xfId="0" applyBorder="1"/>
    <xf numFmtId="0" fontId="0" fillId="0" borderId="36" xfId="0" applyBorder="1"/>
    <xf numFmtId="14" fontId="9"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3"/>
  <sheetViews>
    <sheetView tabSelected="1" topLeftCell="A272" zoomScale="86" zoomScaleNormal="130" workbookViewId="0">
      <selection activeCell="D283" sqref="D283"/>
    </sheetView>
  </sheetViews>
  <sheetFormatPr defaultColWidth="3.140625" defaultRowHeight="18" x14ac:dyDescent="0.25"/>
  <cols>
    <col min="1" max="1" width="6" style="95" customWidth="1"/>
    <col min="2" max="2" width="17.28515625" style="95" customWidth="1"/>
    <col min="3" max="3" width="13.7109375" style="95" customWidth="1"/>
    <col min="4" max="4" width="24.7109375" style="95" customWidth="1"/>
    <col min="5" max="5" width="17.85546875" style="95" customWidth="1"/>
    <col min="6" max="6" width="24.42578125" style="95" customWidth="1"/>
    <col min="7" max="7" width="17.28515625" style="95" customWidth="1"/>
    <col min="8" max="8" width="16.140625" style="95" customWidth="1"/>
    <col min="9" max="10" width="15.42578125" style="95" customWidth="1"/>
    <col min="11" max="11" width="6" style="95" customWidth="1"/>
    <col min="12" max="12" width="19.28515625" style="95" customWidth="1"/>
    <col min="13" max="13" width="19" style="95" customWidth="1"/>
    <col min="14" max="14" width="14.85546875" style="95" customWidth="1"/>
    <col min="15" max="15" width="31.42578125" style="95" customWidth="1"/>
    <col min="16" max="16" width="11.140625" style="95" customWidth="1"/>
    <col min="17" max="17" width="11.42578125" style="95" customWidth="1"/>
    <col min="18" max="18" width="13.42578125" style="95" customWidth="1"/>
    <col min="19" max="19" width="14.42578125" style="95" customWidth="1"/>
    <col min="20" max="20" width="13.42578125" style="95" customWidth="1"/>
    <col min="21" max="21" width="7.7109375" style="95" customWidth="1"/>
    <col min="22" max="22" width="12" style="95" customWidth="1"/>
    <col min="23" max="23" width="8.7109375" style="95" customWidth="1"/>
    <col min="24" max="24" width="6" style="95" customWidth="1"/>
    <col min="25" max="25" width="8.7109375" style="95" customWidth="1"/>
    <col min="26" max="26" width="3.140625" style="95" customWidth="1"/>
    <col min="27" max="16384" width="3.140625" style="95"/>
  </cols>
  <sheetData>
    <row r="1" spans="1:16" ht="24.9" customHeight="1" x14ac:dyDescent="0.25">
      <c r="A1" s="197" t="s">
        <v>294</v>
      </c>
      <c r="B1" s="100"/>
      <c r="C1" s="100"/>
      <c r="D1" s="100"/>
      <c r="E1" s="100"/>
      <c r="F1" s="100"/>
      <c r="G1" s="100"/>
      <c r="H1" s="100"/>
      <c r="I1" s="111" t="s">
        <v>295</v>
      </c>
      <c r="J1" s="100"/>
      <c r="K1" s="100"/>
      <c r="L1"/>
    </row>
    <row r="2" spans="1:16" ht="24.9" customHeight="1" x14ac:dyDescent="0.25">
      <c r="A2" s="101" t="s">
        <v>0</v>
      </c>
      <c r="B2" s="100"/>
      <c r="C2" s="100"/>
      <c r="D2" s="100"/>
      <c r="E2" s="100"/>
      <c r="F2" s="100"/>
      <c r="G2" s="100"/>
      <c r="H2" s="100"/>
      <c r="I2" s="111" t="s">
        <v>296</v>
      </c>
      <c r="J2" s="100"/>
      <c r="K2" s="100"/>
      <c r="L2"/>
    </row>
    <row r="3" spans="1:16" ht="24.9" customHeight="1" x14ac:dyDescent="0.25">
      <c r="A3" s="100" t="s">
        <v>1</v>
      </c>
      <c r="B3" s="101"/>
      <c r="C3" s="100"/>
      <c r="D3" s="100"/>
      <c r="E3" s="100"/>
      <c r="F3" s="100"/>
      <c r="G3" s="100"/>
      <c r="H3" s="100"/>
      <c r="I3" s="100" t="s">
        <v>2</v>
      </c>
      <c r="J3" s="100"/>
      <c r="K3" s="100"/>
    </row>
    <row r="4" spans="1:16" ht="24.9" customHeight="1" x14ac:dyDescent="0.25">
      <c r="A4" s="100" t="s">
        <v>3</v>
      </c>
      <c r="B4" s="100"/>
      <c r="C4" s="100"/>
      <c r="D4" s="100"/>
      <c r="E4" s="100"/>
      <c r="F4" s="100"/>
      <c r="G4" s="101"/>
      <c r="H4" s="100"/>
      <c r="I4" s="100" t="s">
        <v>4</v>
      </c>
      <c r="J4" s="100"/>
      <c r="K4" s="100"/>
    </row>
    <row r="5" spans="1:16" ht="24.9" customHeight="1" x14ac:dyDescent="0.25">
      <c r="A5" s="102"/>
      <c r="B5" s="102"/>
      <c r="C5" s="102"/>
      <c r="D5" s="102"/>
      <c r="E5" s="102"/>
      <c r="F5" s="102"/>
      <c r="G5" s="102"/>
      <c r="H5" s="102"/>
      <c r="I5" s="102"/>
      <c r="J5" s="102"/>
      <c r="K5" s="103"/>
    </row>
    <row r="6" spans="1:16" ht="24.9" customHeight="1" x14ac:dyDescent="0.25">
      <c r="A6" s="101" t="s">
        <v>5</v>
      </c>
      <c r="B6" s="100" t="s">
        <v>401</v>
      </c>
      <c r="C6" s="104"/>
      <c r="D6" s="100"/>
      <c r="E6" s="101" t="s">
        <v>6</v>
      </c>
      <c r="F6" s="100"/>
      <c r="G6" s="100"/>
      <c r="H6" s="100"/>
      <c r="I6" s="105" t="s">
        <v>7</v>
      </c>
      <c r="J6" s="402" t="s">
        <v>298</v>
      </c>
      <c r="K6" s="403"/>
    </row>
    <row r="7" spans="1:16" ht="39.9" customHeight="1" x14ac:dyDescent="0.25">
      <c r="A7" s="115"/>
      <c r="B7" s="404" t="s">
        <v>8</v>
      </c>
      <c r="C7" s="386"/>
      <c r="D7" s="386"/>
      <c r="E7" s="386"/>
      <c r="F7" s="386"/>
      <c r="G7" s="386"/>
      <c r="H7" s="386"/>
      <c r="I7" s="386"/>
      <c r="J7" s="386"/>
      <c r="K7" s="386"/>
    </row>
    <row r="8" spans="1:16" ht="24.9" customHeight="1" x14ac:dyDescent="0.25">
      <c r="A8" s="115"/>
      <c r="B8" s="115"/>
      <c r="C8" s="115"/>
      <c r="D8" s="115"/>
      <c r="E8" s="115"/>
      <c r="F8" s="115"/>
      <c r="G8" s="115"/>
      <c r="H8" s="115"/>
      <c r="I8" s="115"/>
      <c r="J8" s="116"/>
      <c r="K8" s="115"/>
    </row>
    <row r="9" spans="1:16" ht="24.9" customHeight="1" x14ac:dyDescent="0.25">
      <c r="A9" s="117">
        <v>1</v>
      </c>
      <c r="B9" s="196" t="s">
        <v>9</v>
      </c>
      <c r="C9" s="115"/>
      <c r="D9" s="119"/>
      <c r="E9" s="115"/>
      <c r="F9" s="117" t="s">
        <v>299</v>
      </c>
      <c r="G9" s="115"/>
      <c r="H9" s="115"/>
      <c r="I9" s="120"/>
      <c r="J9" s="410"/>
      <c r="K9" s="411"/>
    </row>
    <row r="10" spans="1:16" ht="24.9" customHeight="1" x14ac:dyDescent="0.3">
      <c r="A10" s="115"/>
      <c r="B10" s="115" t="s">
        <v>10</v>
      </c>
      <c r="C10" s="115"/>
      <c r="D10" s="119"/>
      <c r="E10" s="115"/>
      <c r="F10" s="204" t="s">
        <v>300</v>
      </c>
      <c r="G10" s="122"/>
      <c r="H10" s="122"/>
      <c r="I10" s="122"/>
      <c r="J10" s="122"/>
      <c r="K10" s="123"/>
      <c r="M10"/>
    </row>
    <row r="11" spans="1:16" ht="24.9" customHeight="1" x14ac:dyDescent="0.25">
      <c r="A11" s="115"/>
      <c r="B11" s="115"/>
      <c r="C11" s="115"/>
      <c r="D11" s="119"/>
      <c r="E11" s="119"/>
      <c r="F11" s="115"/>
      <c r="G11" s="115"/>
      <c r="H11" s="115"/>
      <c r="I11" s="115"/>
      <c r="J11" s="115"/>
      <c r="K11" s="115"/>
    </row>
    <row r="12" spans="1:16" s="98" customFormat="1" ht="24.9" customHeight="1" x14ac:dyDescent="0.35">
      <c r="A12" s="124"/>
      <c r="B12" s="125" t="s">
        <v>11</v>
      </c>
      <c r="C12" s="124"/>
      <c r="D12" s="126"/>
      <c r="E12" s="127" t="s">
        <v>12</v>
      </c>
      <c r="F12" s="112" t="s">
        <v>301</v>
      </c>
      <c r="G12" s="113"/>
      <c r="H12" s="114" t="s">
        <v>13</v>
      </c>
      <c r="I12" s="406" t="s">
        <v>302</v>
      </c>
      <c r="J12" s="407"/>
      <c r="K12" s="407"/>
      <c r="L12"/>
    </row>
    <row r="13" spans="1:16" ht="24.9" customHeight="1" x14ac:dyDescent="0.35">
      <c r="A13" s="115"/>
      <c r="B13" s="118" t="s">
        <v>14</v>
      </c>
      <c r="C13" s="115"/>
      <c r="D13" s="115"/>
      <c r="E13" s="115"/>
      <c r="F13" s="100" t="s">
        <v>397</v>
      </c>
      <c r="G13" s="121"/>
      <c r="H13" s="115"/>
      <c r="I13" s="129" t="s">
        <v>15</v>
      </c>
      <c r="J13" s="130" t="s">
        <v>179</v>
      </c>
      <c r="K13" s="115"/>
      <c r="L13"/>
      <c r="N13" s="95" t="s">
        <v>402</v>
      </c>
      <c r="P13" s="100" t="s">
        <v>403</v>
      </c>
    </row>
    <row r="14" spans="1:16" ht="24.9" customHeight="1" x14ac:dyDescent="0.35">
      <c r="A14" s="115"/>
      <c r="B14" s="118"/>
      <c r="C14" s="115"/>
      <c r="D14" s="115"/>
      <c r="E14" s="115"/>
      <c r="F14" s="121"/>
      <c r="G14" s="115"/>
      <c r="H14" s="115"/>
      <c r="I14" s="115"/>
      <c r="J14" s="115"/>
      <c r="K14" s="115"/>
    </row>
    <row r="15" spans="1:16" ht="24.9" customHeight="1" x14ac:dyDescent="0.25">
      <c r="A15" s="117">
        <v>2</v>
      </c>
      <c r="B15" s="196" t="s">
        <v>16</v>
      </c>
      <c r="C15" s="115"/>
      <c r="D15" s="119"/>
      <c r="E15" s="117" t="s">
        <v>12</v>
      </c>
      <c r="F15" s="335" t="s">
        <v>303</v>
      </c>
      <c r="G15" s="115"/>
      <c r="H15" s="115"/>
      <c r="I15" s="115"/>
      <c r="J15" s="115"/>
      <c r="K15" s="115"/>
    </row>
    <row r="16" spans="1:16" s="98" customFormat="1" ht="24.9" customHeight="1" x14ac:dyDescent="0.3">
      <c r="A16" s="124"/>
      <c r="B16" s="125" t="s">
        <v>17</v>
      </c>
      <c r="C16" s="124"/>
      <c r="D16" s="126"/>
      <c r="E16" s="127" t="s">
        <v>12</v>
      </c>
      <c r="F16" s="110" t="s">
        <v>304</v>
      </c>
      <c r="G16" s="131"/>
      <c r="H16" s="131"/>
      <c r="I16" s="132"/>
      <c r="J16" s="132"/>
      <c r="K16" s="132"/>
      <c r="L16"/>
    </row>
    <row r="17" spans="1:17" ht="24.9" customHeight="1" x14ac:dyDescent="0.35">
      <c r="A17" s="115"/>
      <c r="B17" s="115" t="s">
        <v>18</v>
      </c>
      <c r="C17" s="115"/>
      <c r="D17" s="119"/>
      <c r="E17" s="117" t="s">
        <v>12</v>
      </c>
      <c r="F17" s="133" t="s">
        <v>305</v>
      </c>
      <c r="G17" s="134"/>
      <c r="H17" s="115"/>
      <c r="I17" s="115"/>
      <c r="J17" s="115"/>
      <c r="K17" s="115"/>
      <c r="N17" s="95" t="s">
        <v>404</v>
      </c>
      <c r="Q17" s="347">
        <v>45792</v>
      </c>
    </row>
    <row r="18" spans="1:17" ht="24.9" customHeight="1" x14ac:dyDescent="0.35">
      <c r="A18" s="118"/>
      <c r="B18" s="115"/>
      <c r="C18" s="115"/>
      <c r="D18" s="115"/>
      <c r="E18" s="115"/>
      <c r="F18" s="115"/>
      <c r="G18" s="134"/>
      <c r="H18" s="121"/>
      <c r="I18" s="115"/>
      <c r="J18" s="115"/>
      <c r="K18" s="115"/>
    </row>
    <row r="19" spans="1:17" ht="24.9" customHeight="1" x14ac:dyDescent="0.25">
      <c r="A19" s="117">
        <v>3</v>
      </c>
      <c r="B19" s="118" t="s">
        <v>19</v>
      </c>
      <c r="C19" s="115"/>
      <c r="D19" s="119"/>
      <c r="E19" s="117" t="s">
        <v>12</v>
      </c>
      <c r="F19" s="115" t="s">
        <v>306</v>
      </c>
      <c r="G19" s="115"/>
      <c r="H19" s="115"/>
      <c r="I19" s="115"/>
      <c r="J19" s="115"/>
      <c r="K19" s="115"/>
    </row>
    <row r="20" spans="1:17" ht="24.9" customHeight="1" x14ac:dyDescent="0.25">
      <c r="A20" s="118"/>
      <c r="B20" s="115"/>
      <c r="C20" s="115"/>
      <c r="D20" s="115"/>
      <c r="E20" s="115"/>
      <c r="F20" s="115"/>
      <c r="G20" s="115"/>
      <c r="H20" s="115"/>
      <c r="I20" s="115"/>
      <c r="J20" s="115"/>
      <c r="K20" s="115"/>
    </row>
    <row r="21" spans="1:17" ht="24.9" customHeight="1" x14ac:dyDescent="0.25">
      <c r="A21" s="117">
        <v>4</v>
      </c>
      <c r="B21" s="196" t="s">
        <v>20</v>
      </c>
      <c r="C21" s="115"/>
      <c r="D21" s="119"/>
      <c r="E21" s="117" t="s">
        <v>12</v>
      </c>
      <c r="F21" s="118" t="s">
        <v>21</v>
      </c>
      <c r="G21" s="115"/>
      <c r="H21" s="115"/>
      <c r="I21" s="115"/>
      <c r="J21" s="115"/>
      <c r="K21" s="115"/>
    </row>
    <row r="22" spans="1:17" s="98" customFormat="1" ht="24.9" customHeight="1" x14ac:dyDescent="0.25">
      <c r="A22" s="125"/>
      <c r="B22" s="125" t="s">
        <v>22</v>
      </c>
      <c r="C22" s="125"/>
      <c r="D22" s="135" t="s">
        <v>23</v>
      </c>
      <c r="E22" s="128" t="s">
        <v>12</v>
      </c>
      <c r="F22" s="412" t="s">
        <v>307</v>
      </c>
      <c r="G22" s="411"/>
      <c r="H22" s="411"/>
      <c r="I22" s="195" t="s">
        <v>308</v>
      </c>
      <c r="J22" s="125"/>
      <c r="K22" s="124"/>
      <c r="L22"/>
    </row>
    <row r="23" spans="1:17" ht="24.9" customHeight="1" x14ac:dyDescent="0.25">
      <c r="A23" s="115"/>
      <c r="B23" s="115" t="s">
        <v>24</v>
      </c>
      <c r="C23" s="115"/>
      <c r="D23" s="119"/>
      <c r="E23" s="117" t="s">
        <v>12</v>
      </c>
      <c r="F23" s="136" t="s">
        <v>309</v>
      </c>
      <c r="G23" s="115"/>
      <c r="H23" s="115"/>
      <c r="I23" s="115"/>
      <c r="J23" s="115"/>
      <c r="K23" s="115"/>
    </row>
    <row r="24" spans="1:17" ht="24.9" customHeight="1" x14ac:dyDescent="0.25">
      <c r="A24" s="115"/>
      <c r="B24" s="115" t="s">
        <v>25</v>
      </c>
      <c r="C24" s="115"/>
      <c r="D24" s="119"/>
      <c r="E24" s="117" t="s">
        <v>12</v>
      </c>
      <c r="F24" s="136" t="s">
        <v>310</v>
      </c>
      <c r="G24" s="115"/>
      <c r="H24" s="115"/>
      <c r="I24" s="115"/>
      <c r="J24" s="115"/>
      <c r="K24" s="115"/>
    </row>
    <row r="25" spans="1:17" ht="24.9" customHeight="1" x14ac:dyDescent="0.35">
      <c r="A25" s="115"/>
      <c r="B25" s="115" t="s">
        <v>26</v>
      </c>
      <c r="C25" s="115"/>
      <c r="D25" s="119"/>
      <c r="E25" s="117" t="s">
        <v>12</v>
      </c>
      <c r="F25" s="398" t="s">
        <v>311</v>
      </c>
      <c r="G25" s="390"/>
      <c r="H25" s="137"/>
      <c r="I25" s="125"/>
      <c r="J25" s="138"/>
      <c r="K25" s="115"/>
      <c r="L25"/>
    </row>
    <row r="26" spans="1:17" ht="24.9" customHeight="1" x14ac:dyDescent="0.35">
      <c r="A26" s="115"/>
      <c r="B26" s="115" t="s">
        <v>27</v>
      </c>
      <c r="C26" s="115"/>
      <c r="D26" s="119"/>
      <c r="E26" s="117" t="s">
        <v>12</v>
      </c>
      <c r="F26" s="398" t="s">
        <v>312</v>
      </c>
      <c r="G26" s="390"/>
      <c r="H26" s="397"/>
      <c r="I26" s="390"/>
      <c r="J26" s="138"/>
      <c r="K26" s="115"/>
    </row>
    <row r="27" spans="1:17" ht="24.9" customHeight="1" x14ac:dyDescent="0.35">
      <c r="A27" s="115"/>
      <c r="B27" s="115" t="s">
        <v>28</v>
      </c>
      <c r="C27" s="115"/>
      <c r="D27" s="118"/>
      <c r="E27" s="117" t="s">
        <v>12</v>
      </c>
      <c r="F27" s="121" t="s">
        <v>313</v>
      </c>
      <c r="G27" s="115"/>
      <c r="H27" s="115"/>
      <c r="I27" s="115"/>
      <c r="J27" s="115"/>
      <c r="K27" s="115"/>
    </row>
    <row r="28" spans="1:17" ht="24.9" customHeight="1" x14ac:dyDescent="0.35">
      <c r="A28" s="115"/>
      <c r="B28" s="115" t="s">
        <v>29</v>
      </c>
      <c r="C28" s="115"/>
      <c r="D28" s="119"/>
      <c r="E28" s="117" t="s">
        <v>12</v>
      </c>
      <c r="F28" s="121" t="s">
        <v>314</v>
      </c>
      <c r="G28" s="115"/>
      <c r="H28" s="115"/>
      <c r="I28" s="115"/>
      <c r="J28" s="115"/>
      <c r="K28" s="115"/>
    </row>
    <row r="29" spans="1:17" ht="24.9" customHeight="1" x14ac:dyDescent="0.25">
      <c r="A29" s="115"/>
      <c r="B29" s="115" t="s">
        <v>30</v>
      </c>
      <c r="C29" s="115"/>
      <c r="D29" s="119"/>
      <c r="E29" s="117" t="s">
        <v>12</v>
      </c>
      <c r="F29" s="115" t="s">
        <v>315</v>
      </c>
      <c r="G29" s="115"/>
      <c r="H29" s="115"/>
      <c r="I29" s="115"/>
      <c r="J29" s="115"/>
      <c r="K29" s="115"/>
    </row>
    <row r="30" spans="1:17" ht="24.9" customHeight="1" x14ac:dyDescent="0.25">
      <c r="A30" s="115"/>
      <c r="B30" s="115" t="s">
        <v>31</v>
      </c>
      <c r="C30" s="115"/>
      <c r="D30" s="119"/>
      <c r="E30" s="117" t="s">
        <v>12</v>
      </c>
      <c r="F30" s="115" t="s">
        <v>254</v>
      </c>
      <c r="G30" s="115"/>
      <c r="H30" s="115"/>
      <c r="I30" s="115"/>
      <c r="J30" s="115"/>
      <c r="K30" s="115"/>
    </row>
    <row r="31" spans="1:17" ht="24.9" customHeight="1" x14ac:dyDescent="0.25">
      <c r="A31" s="115"/>
      <c r="B31" s="115" t="s">
        <v>32</v>
      </c>
      <c r="C31" s="115"/>
      <c r="D31" s="119" t="s">
        <v>33</v>
      </c>
      <c r="E31" s="117" t="s">
        <v>12</v>
      </c>
      <c r="F31" s="130"/>
      <c r="G31" s="115"/>
      <c r="H31" s="115"/>
      <c r="I31" s="115"/>
      <c r="J31" s="115"/>
      <c r="K31" s="115"/>
    </row>
    <row r="32" spans="1:17" ht="24.9" customHeight="1" x14ac:dyDescent="0.25">
      <c r="A32" s="115"/>
      <c r="B32" s="115" t="s">
        <v>34</v>
      </c>
      <c r="C32" s="115"/>
      <c r="D32" s="119" t="s">
        <v>35</v>
      </c>
      <c r="E32" s="117" t="s">
        <v>12</v>
      </c>
      <c r="F32" s="130" t="s">
        <v>316</v>
      </c>
      <c r="G32" s="115"/>
      <c r="H32" s="115"/>
      <c r="I32" s="115"/>
      <c r="J32" s="115"/>
      <c r="K32" s="115"/>
    </row>
    <row r="33" spans="1:12" s="96" customFormat="1" ht="24.9" customHeight="1" x14ac:dyDescent="0.25">
      <c r="A33" s="115"/>
      <c r="B33" s="115" t="s">
        <v>36</v>
      </c>
      <c r="C33" s="115"/>
      <c r="D33" s="119"/>
      <c r="E33" s="117"/>
      <c r="F33" s="130" t="str">
        <f>IF(OR(F31="",F32=""),"",F31-F32)</f>
        <v/>
      </c>
      <c r="G33" s="115"/>
      <c r="H33" s="115"/>
      <c r="I33" s="115"/>
      <c r="J33" s="115"/>
      <c r="K33" s="115"/>
    </row>
    <row r="34" spans="1:12" ht="24.9" customHeight="1" x14ac:dyDescent="0.25">
      <c r="A34" s="115"/>
      <c r="B34" s="115" t="s">
        <v>37</v>
      </c>
      <c r="C34" s="115"/>
      <c r="D34" s="138"/>
      <c r="E34" s="130" t="s">
        <v>12</v>
      </c>
      <c r="F34" s="136" t="s">
        <v>310</v>
      </c>
      <c r="G34" s="115"/>
      <c r="H34" s="115"/>
      <c r="I34" s="115"/>
      <c r="J34" s="115"/>
      <c r="K34" s="115"/>
    </row>
    <row r="35" spans="1:12" ht="24.9" customHeight="1" x14ac:dyDescent="0.35">
      <c r="A35" s="115"/>
      <c r="B35" s="115" t="s">
        <v>38</v>
      </c>
      <c r="C35" s="118"/>
      <c r="D35" s="119"/>
      <c r="E35" s="117" t="s">
        <v>12</v>
      </c>
      <c r="F35" s="113" t="s">
        <v>179</v>
      </c>
      <c r="G35" s="121"/>
      <c r="H35" s="121"/>
      <c r="I35" s="115"/>
      <c r="J35" s="115"/>
      <c r="K35" s="115"/>
    </row>
    <row r="36" spans="1:12" ht="24.9" customHeight="1" x14ac:dyDescent="0.25">
      <c r="A36" s="115"/>
      <c r="B36" s="115" t="s">
        <v>39</v>
      </c>
      <c r="C36" s="118"/>
      <c r="D36" s="119"/>
      <c r="E36" s="117"/>
      <c r="F36" s="136" t="s">
        <v>179</v>
      </c>
      <c r="G36" s="115"/>
      <c r="H36" s="115"/>
      <c r="I36" s="115"/>
      <c r="J36" s="115"/>
      <c r="K36" s="115"/>
    </row>
    <row r="37" spans="1:12" ht="24.9" customHeight="1" x14ac:dyDescent="0.25">
      <c r="A37" s="115"/>
      <c r="B37" s="115" t="s">
        <v>40</v>
      </c>
      <c r="C37" s="118"/>
      <c r="D37" s="119"/>
      <c r="E37" s="117"/>
      <c r="F37" s="130" t="s">
        <v>179</v>
      </c>
      <c r="G37" s="115"/>
      <c r="H37" s="115"/>
      <c r="I37" s="115"/>
      <c r="J37" s="115"/>
      <c r="K37" s="115"/>
    </row>
    <row r="38" spans="1:12" ht="24.9" customHeight="1" x14ac:dyDescent="0.25">
      <c r="A38" s="115"/>
      <c r="B38" s="115" t="s">
        <v>41</v>
      </c>
      <c r="C38" s="118"/>
      <c r="D38" s="119"/>
      <c r="E38" s="117" t="s">
        <v>12</v>
      </c>
      <c r="F38" s="136" t="s">
        <v>179</v>
      </c>
      <c r="G38" s="118"/>
      <c r="H38" s="136"/>
      <c r="I38" s="115"/>
      <c r="J38" s="115"/>
      <c r="K38" s="115"/>
    </row>
    <row r="39" spans="1:12" ht="24.9" customHeight="1" x14ac:dyDescent="0.35">
      <c r="A39" s="115"/>
      <c r="B39" s="115" t="s">
        <v>42</v>
      </c>
      <c r="C39" s="118"/>
      <c r="D39" s="119"/>
      <c r="E39" s="117" t="s">
        <v>12</v>
      </c>
      <c r="F39" s="121" t="s">
        <v>179</v>
      </c>
      <c r="G39" s="115"/>
      <c r="H39" s="115"/>
      <c r="I39" s="115"/>
      <c r="J39" s="115"/>
      <c r="K39" s="115"/>
    </row>
    <row r="40" spans="1:12" ht="24.9" customHeight="1" x14ac:dyDescent="0.25">
      <c r="A40" s="115"/>
      <c r="B40" s="115" t="s">
        <v>43</v>
      </c>
      <c r="C40" s="118"/>
      <c r="D40" s="119"/>
      <c r="E40" s="117" t="s">
        <v>12</v>
      </c>
      <c r="F40" s="130" t="s">
        <v>255</v>
      </c>
      <c r="G40" s="115"/>
      <c r="H40" s="115"/>
      <c r="I40" s="115"/>
      <c r="J40" s="115"/>
      <c r="K40" s="115"/>
      <c r="L40"/>
    </row>
    <row r="41" spans="1:12" ht="24.9" customHeight="1" x14ac:dyDescent="0.25">
      <c r="A41" s="115"/>
      <c r="B41" s="115" t="s">
        <v>44</v>
      </c>
      <c r="C41" s="115"/>
      <c r="D41" s="119"/>
      <c r="E41" s="117" t="s">
        <v>12</v>
      </c>
      <c r="F41" s="130" t="s">
        <v>317</v>
      </c>
      <c r="G41" s="115"/>
      <c r="H41" s="115"/>
      <c r="I41" s="115"/>
      <c r="J41" s="115"/>
      <c r="K41" s="115"/>
    </row>
    <row r="42" spans="1:12" ht="24.9" customHeight="1" x14ac:dyDescent="0.25">
      <c r="A42" s="115"/>
      <c r="B42" s="115" t="s">
        <v>45</v>
      </c>
      <c r="C42" s="115"/>
      <c r="D42" s="119"/>
      <c r="E42" s="117" t="s">
        <v>12</v>
      </c>
      <c r="F42" s="136" t="s">
        <v>318</v>
      </c>
      <c r="G42" s="115"/>
      <c r="H42" s="115"/>
      <c r="I42" s="118"/>
      <c r="J42" s="130"/>
      <c r="K42" s="115"/>
    </row>
    <row r="43" spans="1:12" ht="24.9" customHeight="1" x14ac:dyDescent="0.25">
      <c r="A43" s="115"/>
      <c r="B43" s="115" t="s">
        <v>46</v>
      </c>
      <c r="C43" s="115"/>
      <c r="D43" s="119"/>
      <c r="E43" s="117" t="s">
        <v>12</v>
      </c>
      <c r="F43" s="115" t="s">
        <v>319</v>
      </c>
      <c r="G43" s="115"/>
      <c r="H43" s="115"/>
      <c r="I43" s="118"/>
      <c r="J43" s="130"/>
      <c r="K43" s="115"/>
    </row>
    <row r="44" spans="1:12" ht="24.9" customHeight="1" x14ac:dyDescent="0.25">
      <c r="A44" s="115"/>
      <c r="B44" s="115" t="s">
        <v>47</v>
      </c>
      <c r="C44" s="115"/>
      <c r="D44" s="119"/>
      <c r="E44" s="117"/>
      <c r="F44" s="130" t="s">
        <v>320</v>
      </c>
      <c r="G44" s="115"/>
      <c r="H44" s="115"/>
      <c r="I44" s="118"/>
      <c r="J44" s="130"/>
      <c r="K44" s="115"/>
    </row>
    <row r="45" spans="1:12" ht="24.9" customHeight="1" x14ac:dyDescent="0.25">
      <c r="A45" s="115"/>
      <c r="B45" s="115" t="s">
        <v>48</v>
      </c>
      <c r="C45" s="115"/>
      <c r="D45" s="119"/>
      <c r="E45" s="117" t="s">
        <v>12</v>
      </c>
      <c r="F45" s="115" t="s">
        <v>321</v>
      </c>
      <c r="G45" s="115"/>
      <c r="H45" s="115"/>
      <c r="I45" s="118"/>
      <c r="J45" s="130"/>
      <c r="K45" s="115"/>
    </row>
    <row r="46" spans="1:12" ht="24.9" customHeight="1" x14ac:dyDescent="0.25">
      <c r="A46" s="115"/>
      <c r="B46" s="115" t="s">
        <v>49</v>
      </c>
      <c r="C46" s="115"/>
      <c r="D46" s="119"/>
      <c r="E46" s="117" t="s">
        <v>12</v>
      </c>
      <c r="F46" s="335" t="s">
        <v>303</v>
      </c>
      <c r="G46" s="115"/>
      <c r="H46" s="115"/>
      <c r="I46" s="118"/>
      <c r="J46" s="115"/>
      <c r="K46" s="115"/>
    </row>
    <row r="47" spans="1:12" ht="24.9" customHeight="1" x14ac:dyDescent="0.25">
      <c r="A47" s="115"/>
      <c r="B47" s="115" t="s">
        <v>50</v>
      </c>
      <c r="C47" s="115"/>
      <c r="D47" s="119"/>
      <c r="E47" s="117"/>
      <c r="F47" s="130" t="s">
        <v>179</v>
      </c>
      <c r="G47" s="136" t="s">
        <v>179</v>
      </c>
      <c r="H47" s="130" t="s">
        <v>179</v>
      </c>
      <c r="I47" s="115"/>
      <c r="J47" s="115"/>
      <c r="K47" s="115"/>
    </row>
    <row r="48" spans="1:12" ht="24.9" customHeight="1" x14ac:dyDescent="0.25">
      <c r="A48" s="115"/>
      <c r="B48" s="115" t="s">
        <v>51</v>
      </c>
      <c r="C48" s="115"/>
      <c r="D48" s="138"/>
      <c r="E48" s="138"/>
      <c r="F48" s="115" t="s">
        <v>179</v>
      </c>
      <c r="G48" s="115"/>
      <c r="H48" s="115"/>
      <c r="I48" s="115"/>
      <c r="J48" s="115"/>
      <c r="K48" s="115"/>
    </row>
    <row r="49" spans="1:12" ht="24.9" customHeight="1" x14ac:dyDescent="0.25">
      <c r="A49" s="115"/>
      <c r="B49" s="115"/>
      <c r="C49" s="115"/>
      <c r="D49" s="138"/>
      <c r="E49" s="138"/>
      <c r="F49" s="115"/>
      <c r="G49" s="115"/>
      <c r="H49" s="115"/>
      <c r="I49" s="115"/>
      <c r="J49" s="115"/>
      <c r="K49" s="115"/>
    </row>
    <row r="50" spans="1:12" ht="24.9" customHeight="1" x14ac:dyDescent="0.25">
      <c r="A50" s="117">
        <v>5</v>
      </c>
      <c r="B50" s="196" t="s">
        <v>52</v>
      </c>
      <c r="C50" s="115"/>
      <c r="D50" s="119"/>
      <c r="E50" s="117" t="s">
        <v>12</v>
      </c>
      <c r="F50" s="118" t="s">
        <v>53</v>
      </c>
      <c r="G50" s="115"/>
      <c r="H50" s="115"/>
      <c r="I50" s="115"/>
      <c r="J50" s="115"/>
      <c r="K50" s="115"/>
    </row>
    <row r="51" spans="1:12" ht="24.9" customHeight="1" x14ac:dyDescent="0.25">
      <c r="A51" s="115"/>
      <c r="B51" s="115" t="s">
        <v>54</v>
      </c>
      <c r="C51" s="115"/>
      <c r="D51" s="119"/>
      <c r="E51" s="117" t="s">
        <v>12</v>
      </c>
      <c r="F51" s="115" t="s">
        <v>303</v>
      </c>
      <c r="G51" s="115"/>
      <c r="H51" s="138" t="s">
        <v>55</v>
      </c>
      <c r="I51" s="139" t="s">
        <v>332</v>
      </c>
      <c r="J51" s="140"/>
      <c r="K51" s="115"/>
      <c r="L51"/>
    </row>
    <row r="52" spans="1:12" s="98" customFormat="1" ht="24.9" customHeight="1" x14ac:dyDescent="0.25">
      <c r="A52" s="124"/>
      <c r="B52" s="125" t="s">
        <v>56</v>
      </c>
      <c r="C52" s="124"/>
      <c r="D52" s="126"/>
      <c r="E52" s="127" t="s">
        <v>12</v>
      </c>
      <c r="F52" s="313" t="s">
        <v>322</v>
      </c>
      <c r="G52" s="131"/>
      <c r="H52" s="131"/>
      <c r="I52" s="141"/>
      <c r="J52" s="131"/>
      <c r="K52" s="132"/>
      <c r="L52"/>
    </row>
    <row r="53" spans="1:12" ht="24.9" customHeight="1" x14ac:dyDescent="0.35">
      <c r="A53" s="115"/>
      <c r="B53" s="118" t="s">
        <v>57</v>
      </c>
      <c r="C53" s="115"/>
      <c r="D53" s="119"/>
      <c r="E53" s="117" t="s">
        <v>12</v>
      </c>
      <c r="F53" s="121" t="s">
        <v>323</v>
      </c>
      <c r="G53" s="115"/>
      <c r="H53" s="115"/>
      <c r="I53" s="118"/>
      <c r="J53" s="115"/>
      <c r="K53" s="115"/>
    </row>
    <row r="54" spans="1:12" ht="24.9" customHeight="1" x14ac:dyDescent="0.25">
      <c r="A54" s="115"/>
      <c r="B54" s="115" t="s">
        <v>58</v>
      </c>
      <c r="C54" s="115"/>
      <c r="D54" s="119"/>
      <c r="E54" s="117" t="s">
        <v>12</v>
      </c>
      <c r="F54" s="136" t="s">
        <v>324</v>
      </c>
      <c r="G54" s="115"/>
      <c r="H54" s="115"/>
      <c r="I54" s="118"/>
      <c r="J54" s="115"/>
      <c r="K54" s="115"/>
    </row>
    <row r="55" spans="1:12" ht="24.9" customHeight="1" x14ac:dyDescent="0.25">
      <c r="A55" s="115"/>
      <c r="B55" s="115" t="s">
        <v>59</v>
      </c>
      <c r="C55" s="115"/>
      <c r="D55" s="119"/>
      <c r="E55" s="117" t="s">
        <v>12</v>
      </c>
      <c r="F55" s="136" t="s">
        <v>325</v>
      </c>
      <c r="G55" s="115"/>
      <c r="H55" s="142"/>
      <c r="I55" s="115"/>
      <c r="J55" s="115"/>
      <c r="K55" s="115"/>
      <c r="L55"/>
    </row>
    <row r="56" spans="1:12" ht="24.9" customHeight="1" x14ac:dyDescent="0.35">
      <c r="A56" s="115"/>
      <c r="B56" s="115" t="s">
        <v>60</v>
      </c>
      <c r="C56" s="115"/>
      <c r="D56" s="119"/>
      <c r="E56" s="117" t="s">
        <v>12</v>
      </c>
      <c r="F56" s="121" t="s">
        <v>326</v>
      </c>
      <c r="G56" s="115"/>
      <c r="H56" s="115"/>
      <c r="I56" s="115"/>
      <c r="J56" s="115"/>
      <c r="K56" s="115"/>
    </row>
    <row r="57" spans="1:12" ht="24.9" customHeight="1" x14ac:dyDescent="0.25">
      <c r="A57" s="115"/>
      <c r="B57" s="115" t="s">
        <v>61</v>
      </c>
      <c r="C57" s="115"/>
      <c r="D57" s="119"/>
      <c r="E57" s="117" t="s">
        <v>12</v>
      </c>
      <c r="F57" s="115" t="s">
        <v>327</v>
      </c>
      <c r="G57" s="115"/>
      <c r="H57" s="115"/>
      <c r="I57" s="115"/>
      <c r="J57" s="115"/>
      <c r="K57" s="115"/>
    </row>
    <row r="58" spans="1:12" ht="24.9" customHeight="1" x14ac:dyDescent="0.25">
      <c r="A58" s="115"/>
      <c r="B58" s="115"/>
      <c r="C58" s="115"/>
      <c r="D58" s="138"/>
      <c r="E58" s="130"/>
      <c r="F58" s="115"/>
      <c r="G58" s="115"/>
      <c r="H58" s="115"/>
      <c r="I58" s="115"/>
      <c r="J58" s="115"/>
      <c r="K58" s="115"/>
    </row>
    <row r="59" spans="1:12" ht="24.9" customHeight="1" x14ac:dyDescent="0.25">
      <c r="A59" s="117">
        <v>6</v>
      </c>
      <c r="B59" s="196" t="s">
        <v>62</v>
      </c>
      <c r="C59" s="115"/>
      <c r="D59" s="138"/>
      <c r="E59" s="138"/>
      <c r="F59" s="115"/>
      <c r="G59" s="115"/>
      <c r="H59" s="115"/>
      <c r="I59" s="115"/>
      <c r="J59" s="115"/>
      <c r="K59" s="115"/>
    </row>
    <row r="60" spans="1:12" ht="24.9" customHeight="1" x14ac:dyDescent="0.25">
      <c r="A60" s="115"/>
      <c r="B60" s="115" t="s">
        <v>63</v>
      </c>
      <c r="C60" s="115"/>
      <c r="D60" s="119"/>
      <c r="E60" s="117" t="s">
        <v>12</v>
      </c>
      <c r="F60" s="143" t="s">
        <v>328</v>
      </c>
      <c r="G60" s="144" t="s">
        <v>179</v>
      </c>
      <c r="H60" s="115"/>
      <c r="I60" s="115"/>
      <c r="J60" s="115"/>
      <c r="K60" s="115"/>
      <c r="L60"/>
    </row>
    <row r="61" spans="1:12" ht="24.9" customHeight="1" x14ac:dyDescent="0.35">
      <c r="A61" s="115"/>
      <c r="B61" s="115" t="s">
        <v>64</v>
      </c>
      <c r="C61" s="115"/>
      <c r="D61" s="119"/>
      <c r="E61" s="117" t="s">
        <v>12</v>
      </c>
      <c r="F61" s="145" t="s">
        <v>329</v>
      </c>
      <c r="G61" s="115"/>
      <c r="H61" s="115"/>
      <c r="I61" s="115"/>
      <c r="J61" s="115"/>
      <c r="K61" s="115"/>
    </row>
    <row r="62" spans="1:12" ht="24.9" customHeight="1" x14ac:dyDescent="0.25">
      <c r="A62" s="115"/>
      <c r="B62" s="115"/>
      <c r="C62" s="115"/>
      <c r="D62" s="115"/>
      <c r="E62" s="117"/>
      <c r="F62" s="115"/>
      <c r="G62" s="115"/>
      <c r="H62" s="115"/>
      <c r="I62" s="115"/>
      <c r="J62" s="115"/>
      <c r="K62" s="115"/>
    </row>
    <row r="63" spans="1:12" ht="24.9" customHeight="1" x14ac:dyDescent="0.25">
      <c r="A63" s="117">
        <v>7</v>
      </c>
      <c r="B63" s="196" t="s">
        <v>65</v>
      </c>
      <c r="C63" s="115"/>
      <c r="D63" s="138"/>
      <c r="E63" s="138"/>
      <c r="F63" s="115"/>
      <c r="G63" s="115"/>
      <c r="H63" s="115"/>
      <c r="I63" s="115"/>
      <c r="J63" s="115"/>
      <c r="K63" s="115"/>
    </row>
    <row r="64" spans="1:12" ht="24.9" customHeight="1" x14ac:dyDescent="0.25">
      <c r="A64" s="115"/>
      <c r="B64" s="115" t="s">
        <v>66</v>
      </c>
      <c r="C64" s="115"/>
      <c r="D64" s="119"/>
      <c r="E64" s="117" t="s">
        <v>12</v>
      </c>
      <c r="F64" s="143">
        <v>45041</v>
      </c>
      <c r="G64" s="146"/>
      <c r="H64" s="125"/>
      <c r="I64" s="124"/>
      <c r="J64" s="124"/>
      <c r="K64" s="124"/>
      <c r="L64"/>
    </row>
    <row r="65" spans="1:15" ht="24.9" customHeight="1" x14ac:dyDescent="0.25">
      <c r="A65" s="115"/>
      <c r="B65" s="115" t="s">
        <v>67</v>
      </c>
      <c r="C65" s="115"/>
      <c r="D65" s="119"/>
      <c r="E65" s="117" t="s">
        <v>12</v>
      </c>
      <c r="F65" s="143">
        <v>45043</v>
      </c>
      <c r="G65" s="147" t="s">
        <v>68</v>
      </c>
      <c r="H65" s="148">
        <v>0.44027777777777777</v>
      </c>
      <c r="I65" s="124"/>
      <c r="J65" s="124"/>
      <c r="K65" s="124"/>
      <c r="L65"/>
    </row>
    <row r="66" spans="1:15" ht="24.9" customHeight="1" x14ac:dyDescent="0.25">
      <c r="A66" s="115"/>
      <c r="B66" s="115" t="s">
        <v>69</v>
      </c>
      <c r="C66" s="115"/>
      <c r="D66" s="138"/>
      <c r="E66" s="117" t="s">
        <v>12</v>
      </c>
      <c r="F66" s="143" t="s">
        <v>179</v>
      </c>
      <c r="G66" s="143"/>
      <c r="H66" s="149" t="s">
        <v>179</v>
      </c>
      <c r="I66" s="124"/>
      <c r="J66" s="124"/>
      <c r="K66" s="124"/>
      <c r="L66"/>
    </row>
    <row r="67" spans="1:15" ht="24.9" customHeight="1" x14ac:dyDescent="0.25">
      <c r="A67" s="115"/>
      <c r="B67" s="115" t="s">
        <v>70</v>
      </c>
      <c r="C67" s="115"/>
      <c r="D67" s="119"/>
      <c r="E67" s="117" t="s">
        <v>12</v>
      </c>
      <c r="F67" s="408" t="s">
        <v>179</v>
      </c>
      <c r="G67" s="409"/>
      <c r="H67" s="314" t="s">
        <v>179</v>
      </c>
      <c r="I67" s="124"/>
      <c r="J67" s="124"/>
      <c r="K67" s="124"/>
      <c r="L67"/>
    </row>
    <row r="68" spans="1:15" ht="24.9" customHeight="1" x14ac:dyDescent="0.25">
      <c r="A68" s="115"/>
      <c r="B68" s="115"/>
      <c r="C68" s="115"/>
      <c r="D68" s="119"/>
      <c r="E68" s="117"/>
      <c r="F68" s="125"/>
      <c r="G68" s="125"/>
      <c r="H68" s="125"/>
      <c r="I68" s="115"/>
      <c r="J68" s="115"/>
      <c r="K68" s="115"/>
    </row>
    <row r="69" spans="1:15" ht="24.9" customHeight="1" x14ac:dyDescent="0.25">
      <c r="A69" s="117">
        <v>8</v>
      </c>
      <c r="B69" s="196" t="s">
        <v>71</v>
      </c>
      <c r="C69" s="115"/>
      <c r="D69" s="118"/>
      <c r="E69" s="117"/>
      <c r="F69" s="115"/>
      <c r="G69" s="115"/>
      <c r="H69" s="115"/>
      <c r="I69" s="115"/>
      <c r="J69" s="115"/>
      <c r="K69" s="115"/>
      <c r="L69" s="100" t="s">
        <v>399</v>
      </c>
      <c r="O69" s="95">
        <v>1000</v>
      </c>
    </row>
    <row r="70" spans="1:15" ht="24.9" customHeight="1" x14ac:dyDescent="0.35">
      <c r="A70" s="117"/>
      <c r="B70" s="115" t="s">
        <v>398</v>
      </c>
      <c r="C70" s="115"/>
      <c r="D70" s="118"/>
      <c r="E70" s="117" t="s">
        <v>12</v>
      </c>
      <c r="F70" s="121" t="s">
        <v>330</v>
      </c>
      <c r="G70" s="115"/>
      <c r="H70" s="115"/>
      <c r="I70" s="115"/>
      <c r="J70" s="115"/>
      <c r="K70" s="115"/>
      <c r="L70" s="95" t="s">
        <v>400</v>
      </c>
      <c r="O70" s="95">
        <v>5000</v>
      </c>
    </row>
    <row r="71" spans="1:15" ht="24.9" customHeight="1" x14ac:dyDescent="0.3">
      <c r="A71" s="117"/>
      <c r="B71" s="115" t="s">
        <v>72</v>
      </c>
      <c r="C71" s="115"/>
      <c r="D71" s="118"/>
      <c r="E71" s="117" t="s">
        <v>12</v>
      </c>
      <c r="F71" s="333" t="s">
        <v>331</v>
      </c>
      <c r="G71" s="131"/>
      <c r="H71" s="131"/>
      <c r="I71" s="131"/>
      <c r="J71" s="131"/>
      <c r="K71" s="132"/>
      <c r="L71"/>
    </row>
    <row r="72" spans="1:15" ht="24.9" customHeight="1" x14ac:dyDescent="0.25">
      <c r="A72" s="115"/>
      <c r="B72" s="115"/>
      <c r="C72" s="115"/>
      <c r="D72" s="115"/>
      <c r="E72" s="115"/>
      <c r="F72" s="138"/>
      <c r="G72" s="115"/>
      <c r="H72" s="115"/>
      <c r="I72" s="115"/>
      <c r="J72" s="115"/>
      <c r="K72" s="115"/>
    </row>
    <row r="73" spans="1:15" ht="24.9" customHeight="1" x14ac:dyDescent="0.25">
      <c r="A73" s="117">
        <v>9</v>
      </c>
      <c r="B73" s="196" t="s">
        <v>73</v>
      </c>
      <c r="C73" s="115"/>
      <c r="D73" s="119"/>
      <c r="E73" s="117" t="s">
        <v>12</v>
      </c>
      <c r="F73" s="130" t="s">
        <v>179</v>
      </c>
      <c r="G73" s="136" t="s">
        <v>179</v>
      </c>
      <c r="H73" s="136" t="s">
        <v>179</v>
      </c>
      <c r="I73" s="115"/>
      <c r="J73" s="115"/>
      <c r="K73" s="115"/>
    </row>
    <row r="74" spans="1:15" ht="24.9" customHeight="1" x14ac:dyDescent="0.25">
      <c r="A74" s="117"/>
      <c r="B74" s="118"/>
      <c r="C74" s="115"/>
      <c r="D74" s="119"/>
      <c r="E74" s="117"/>
      <c r="F74" s="115"/>
      <c r="G74" s="115"/>
      <c r="H74" s="115"/>
      <c r="I74" s="115"/>
      <c r="J74" s="115"/>
      <c r="K74" s="115"/>
    </row>
    <row r="75" spans="1:15" ht="24.9" customHeight="1" x14ac:dyDescent="0.25">
      <c r="A75" s="117">
        <v>10</v>
      </c>
      <c r="B75" s="196" t="s">
        <v>74</v>
      </c>
      <c r="C75" s="115"/>
      <c r="D75" s="119"/>
      <c r="E75" s="117" t="s">
        <v>12</v>
      </c>
      <c r="F75" s="115" t="s">
        <v>179</v>
      </c>
      <c r="G75" s="115"/>
      <c r="H75" s="115"/>
      <c r="I75" s="115"/>
      <c r="J75" s="115"/>
      <c r="K75" s="115"/>
    </row>
    <row r="76" spans="1:15" s="106" customFormat="1" ht="24.9" customHeight="1" x14ac:dyDescent="0.25">
      <c r="A76" s="150"/>
      <c r="B76" s="151" t="s">
        <v>75</v>
      </c>
      <c r="C76" s="151"/>
      <c r="D76" s="152"/>
      <c r="E76" s="150"/>
      <c r="F76" s="151"/>
      <c r="G76" s="151"/>
      <c r="H76" s="151"/>
      <c r="I76" s="151"/>
      <c r="J76" s="151"/>
      <c r="K76" s="151"/>
    </row>
    <row r="77" spans="1:15" s="106" customFormat="1" ht="24.9" customHeight="1" x14ac:dyDescent="0.25">
      <c r="A77" s="150"/>
      <c r="B77" s="151" t="s">
        <v>76</v>
      </c>
      <c r="C77" s="151"/>
      <c r="D77" s="153"/>
      <c r="E77" s="150"/>
      <c r="F77" s="151"/>
      <c r="G77" s="151"/>
      <c r="H77" s="151"/>
      <c r="I77" s="151"/>
      <c r="J77" s="151"/>
      <c r="K77" s="151"/>
    </row>
    <row r="78" spans="1:15" s="106" customFormat="1" ht="24.9" customHeight="1" x14ac:dyDescent="0.25">
      <c r="A78" s="150"/>
      <c r="B78" s="151" t="s">
        <v>77</v>
      </c>
      <c r="C78" s="151"/>
      <c r="D78" s="153"/>
      <c r="E78" s="150"/>
      <c r="F78" s="151"/>
      <c r="G78" s="151"/>
      <c r="H78" s="151"/>
      <c r="I78" s="151"/>
      <c r="J78" s="151"/>
      <c r="K78" s="151"/>
    </row>
    <row r="79" spans="1:15" s="106" customFormat="1" ht="24.9" customHeight="1" x14ac:dyDescent="0.25">
      <c r="A79" s="150"/>
      <c r="B79" s="154"/>
      <c r="C79" s="151"/>
      <c r="D79" s="152"/>
      <c r="E79" s="150"/>
      <c r="F79" s="151"/>
      <c r="G79" s="151"/>
      <c r="H79" s="151"/>
      <c r="I79" s="151"/>
      <c r="J79" s="151"/>
      <c r="K79" s="151"/>
    </row>
    <row r="80" spans="1:15" ht="24.9" customHeight="1" x14ac:dyDescent="0.25">
      <c r="A80" s="115"/>
      <c r="B80" s="115"/>
      <c r="C80" s="115"/>
      <c r="D80" s="115"/>
      <c r="E80" s="115"/>
      <c r="F80" s="115"/>
      <c r="G80" s="115"/>
      <c r="H80" s="115"/>
      <c r="I80" s="115"/>
      <c r="J80" s="115"/>
      <c r="K80" s="115"/>
    </row>
    <row r="81" spans="1:12" ht="24.9" customHeight="1" x14ac:dyDescent="0.25">
      <c r="A81" s="117">
        <v>11</v>
      </c>
      <c r="B81" s="196" t="s">
        <v>78</v>
      </c>
      <c r="C81" s="115"/>
      <c r="D81" s="138"/>
      <c r="E81" s="138"/>
      <c r="F81" s="115"/>
      <c r="G81" s="115"/>
      <c r="H81" s="115"/>
      <c r="I81" s="115"/>
      <c r="J81" s="115"/>
      <c r="K81" s="115"/>
    </row>
    <row r="82" spans="1:12" ht="24.9" customHeight="1" x14ac:dyDescent="0.25">
      <c r="A82" s="118"/>
      <c r="B82" s="386" t="s">
        <v>392</v>
      </c>
      <c r="C82" s="386"/>
      <c r="D82" s="386"/>
      <c r="E82" s="386"/>
      <c r="F82" s="386"/>
      <c r="G82" s="386"/>
      <c r="H82" s="386"/>
      <c r="I82" s="386"/>
      <c r="J82" s="386"/>
      <c r="K82" s="386"/>
    </row>
    <row r="83" spans="1:12" ht="24.9" customHeight="1" x14ac:dyDescent="0.25">
      <c r="A83" s="115"/>
      <c r="B83" s="386"/>
      <c r="C83" s="386"/>
      <c r="D83" s="386"/>
      <c r="E83" s="386"/>
      <c r="F83" s="386"/>
      <c r="G83" s="386"/>
      <c r="H83" s="386"/>
      <c r="I83" s="386"/>
      <c r="J83" s="386"/>
      <c r="K83" s="386"/>
    </row>
    <row r="84" spans="1:12" ht="24.9" customHeight="1" x14ac:dyDescent="0.25">
      <c r="A84" s="115"/>
      <c r="B84" s="386"/>
      <c r="C84" s="386"/>
      <c r="D84" s="386"/>
      <c r="E84" s="386"/>
      <c r="F84" s="386"/>
      <c r="G84" s="386"/>
      <c r="H84" s="386"/>
      <c r="I84" s="386"/>
      <c r="J84" s="386"/>
      <c r="K84" s="386"/>
      <c r="L84"/>
    </row>
    <row r="85" spans="1:12" ht="24.9" customHeight="1" x14ac:dyDescent="0.25">
      <c r="A85" s="115"/>
      <c r="B85" s="386"/>
      <c r="C85" s="386"/>
      <c r="D85" s="386"/>
      <c r="E85" s="386"/>
      <c r="F85" s="386"/>
      <c r="G85" s="386"/>
      <c r="H85" s="386"/>
      <c r="I85" s="386"/>
      <c r="J85" s="386"/>
      <c r="K85" s="386"/>
    </row>
    <row r="86" spans="1:12" ht="24.9" customHeight="1" x14ac:dyDescent="0.25">
      <c r="A86" s="115"/>
      <c r="B86" s="386"/>
      <c r="C86" s="386"/>
      <c r="D86" s="386"/>
      <c r="E86" s="386"/>
      <c r="F86" s="386"/>
      <c r="G86" s="386"/>
      <c r="H86" s="386"/>
      <c r="I86" s="386"/>
      <c r="J86" s="386"/>
      <c r="K86" s="386"/>
    </row>
    <row r="87" spans="1:12" ht="24.9" customHeight="1" x14ac:dyDescent="0.25">
      <c r="A87" s="117">
        <v>12</v>
      </c>
      <c r="B87" s="196"/>
      <c r="C87" s="115"/>
      <c r="D87" s="115"/>
      <c r="E87" s="115"/>
      <c r="F87" s="115"/>
      <c r="G87" s="115"/>
      <c r="H87" s="115"/>
      <c r="I87" s="115"/>
      <c r="J87" s="115"/>
      <c r="K87" s="115"/>
      <c r="L87"/>
    </row>
    <row r="88" spans="1:12" ht="24.9" customHeight="1" x14ac:dyDescent="0.25">
      <c r="A88" s="117"/>
      <c r="B88" s="386" t="s">
        <v>79</v>
      </c>
      <c r="C88" s="386"/>
      <c r="D88" s="386"/>
      <c r="E88" s="386"/>
      <c r="F88" s="386"/>
      <c r="G88" s="386"/>
      <c r="H88" s="386"/>
      <c r="I88" s="386"/>
      <c r="J88" s="386"/>
      <c r="K88" s="386"/>
    </row>
    <row r="89" spans="1:12" ht="24.9" customHeight="1" x14ac:dyDescent="0.25">
      <c r="A89" s="115"/>
      <c r="B89" s="386"/>
      <c r="C89" s="386"/>
      <c r="D89" s="386"/>
      <c r="E89" s="386"/>
      <c r="F89" s="386"/>
      <c r="G89" s="386"/>
      <c r="H89" s="386"/>
      <c r="I89" s="386"/>
      <c r="J89" s="386"/>
      <c r="K89" s="386"/>
    </row>
    <row r="90" spans="1:12" ht="24.9" customHeight="1" x14ac:dyDescent="0.25">
      <c r="A90" s="115"/>
      <c r="B90" s="386"/>
      <c r="C90" s="386"/>
      <c r="D90" s="386"/>
      <c r="E90" s="386"/>
      <c r="F90" s="386"/>
      <c r="G90" s="386"/>
      <c r="H90" s="386"/>
      <c r="I90" s="386"/>
      <c r="J90" s="386"/>
      <c r="K90" s="386"/>
    </row>
    <row r="91" spans="1:12" ht="24.9" customHeight="1" x14ac:dyDescent="0.25">
      <c r="A91" s="115"/>
      <c r="B91" s="386"/>
      <c r="C91" s="386"/>
      <c r="D91" s="386"/>
      <c r="E91" s="386"/>
      <c r="F91" s="386"/>
      <c r="G91" s="386"/>
      <c r="H91" s="386"/>
      <c r="I91" s="386"/>
      <c r="J91" s="386"/>
      <c r="K91" s="386"/>
    </row>
    <row r="92" spans="1:12" ht="24.9" customHeight="1" x14ac:dyDescent="0.25">
      <c r="A92" s="115"/>
      <c r="B92" s="386"/>
      <c r="C92" s="386"/>
      <c r="D92" s="386"/>
      <c r="E92" s="386"/>
      <c r="F92" s="386"/>
      <c r="G92" s="386"/>
      <c r="H92" s="386"/>
      <c r="I92" s="386"/>
      <c r="J92" s="386"/>
      <c r="K92" s="386"/>
    </row>
    <row r="93" spans="1:12" ht="24.9" customHeight="1" x14ac:dyDescent="0.25">
      <c r="A93" s="117"/>
      <c r="B93" s="386"/>
      <c r="C93" s="386"/>
      <c r="D93" s="386"/>
      <c r="E93" s="386"/>
      <c r="F93" s="386"/>
      <c r="G93" s="386"/>
      <c r="H93" s="386"/>
      <c r="I93" s="386"/>
      <c r="J93" s="386"/>
      <c r="K93" s="386"/>
    </row>
    <row r="94" spans="1:12" ht="24.9" customHeight="1" x14ac:dyDescent="0.25">
      <c r="A94" s="117">
        <v>13</v>
      </c>
      <c r="B94" s="196" t="s">
        <v>80</v>
      </c>
      <c r="C94" s="115"/>
      <c r="D94" s="115"/>
      <c r="E94" s="115"/>
      <c r="F94" s="115"/>
      <c r="G94" s="115"/>
      <c r="H94" s="118"/>
      <c r="I94" s="115"/>
      <c r="J94" s="115"/>
      <c r="K94" s="115"/>
    </row>
    <row r="95" spans="1:12" ht="24.9" customHeight="1" x14ac:dyDescent="0.25">
      <c r="A95" s="129">
        <v>1</v>
      </c>
      <c r="B95" s="397" t="s">
        <v>81</v>
      </c>
      <c r="C95" s="390"/>
      <c r="D95" s="390"/>
      <c r="E95" s="390"/>
      <c r="F95" s="390"/>
      <c r="G95" s="390"/>
      <c r="H95" s="390"/>
      <c r="I95" s="390"/>
      <c r="J95" s="390"/>
      <c r="K95" s="115"/>
    </row>
    <row r="96" spans="1:12" ht="24.9" customHeight="1" x14ac:dyDescent="0.25">
      <c r="A96" s="129">
        <v>2</v>
      </c>
      <c r="B96" s="397" t="s">
        <v>82</v>
      </c>
      <c r="C96" s="390"/>
      <c r="D96" s="390"/>
      <c r="E96" s="390"/>
      <c r="F96" s="390"/>
      <c r="G96" s="390"/>
      <c r="H96" s="390"/>
      <c r="I96" s="390"/>
      <c r="J96" s="390"/>
      <c r="K96" s="115"/>
    </row>
    <row r="97" spans="1:14" ht="24.9" customHeight="1" x14ac:dyDescent="0.25">
      <c r="A97" s="129">
        <v>3</v>
      </c>
      <c r="B97" s="397" t="s">
        <v>83</v>
      </c>
      <c r="C97" s="390"/>
      <c r="D97" s="390"/>
      <c r="E97" s="390"/>
      <c r="F97" s="390"/>
      <c r="G97" s="390"/>
      <c r="H97" s="390"/>
      <c r="I97" s="390"/>
      <c r="J97" s="390"/>
      <c r="K97" s="115"/>
    </row>
    <row r="98" spans="1:14" ht="24.9" customHeight="1" x14ac:dyDescent="0.25">
      <c r="A98" s="129">
        <v>4</v>
      </c>
      <c r="B98" s="397" t="s">
        <v>84</v>
      </c>
      <c r="C98" s="390"/>
      <c r="D98" s="390"/>
      <c r="E98" s="390"/>
      <c r="F98" s="390"/>
      <c r="G98" s="390"/>
      <c r="H98" s="390"/>
      <c r="I98" s="390"/>
      <c r="J98" s="390"/>
      <c r="K98" s="115"/>
    </row>
    <row r="99" spans="1:14" ht="24.9" customHeight="1" x14ac:dyDescent="0.35">
      <c r="A99" s="129">
        <v>5</v>
      </c>
      <c r="B99" s="400" t="s">
        <v>85</v>
      </c>
      <c r="C99" s="390"/>
      <c r="D99" s="390"/>
      <c r="E99" s="390"/>
      <c r="F99" s="390"/>
      <c r="G99" s="390"/>
      <c r="H99" s="390"/>
      <c r="I99" s="390"/>
      <c r="J99" s="390"/>
      <c r="K99" s="115"/>
    </row>
    <row r="100" spans="1:14" ht="24.9" customHeight="1" x14ac:dyDescent="0.35">
      <c r="A100" s="129"/>
      <c r="B100" s="121"/>
      <c r="C100" s="121"/>
      <c r="D100" s="121"/>
      <c r="E100" s="121"/>
      <c r="F100" s="121"/>
      <c r="G100" s="121"/>
      <c r="H100" s="121"/>
      <c r="I100" s="121"/>
      <c r="J100" s="121"/>
      <c r="K100" s="115"/>
    </row>
    <row r="101" spans="1:14" ht="24.9" customHeight="1" x14ac:dyDescent="0.35">
      <c r="A101" s="129"/>
      <c r="B101" s="121"/>
      <c r="C101" s="121"/>
      <c r="D101" s="121"/>
      <c r="E101" s="121"/>
      <c r="F101" s="121"/>
      <c r="G101" s="121"/>
      <c r="H101" s="121"/>
      <c r="I101" s="121"/>
      <c r="J101" s="121"/>
      <c r="K101" s="115"/>
    </row>
    <row r="102" spans="1:14" ht="24.9" customHeight="1" x14ac:dyDescent="0.25">
      <c r="A102" s="117">
        <v>14</v>
      </c>
      <c r="B102" s="196" t="s">
        <v>86</v>
      </c>
      <c r="C102" s="115"/>
      <c r="D102" s="115"/>
      <c r="E102" s="115"/>
      <c r="F102" s="115"/>
      <c r="G102" s="115"/>
      <c r="H102" s="115"/>
      <c r="I102" s="115"/>
      <c r="J102" s="115"/>
      <c r="K102" s="115"/>
    </row>
    <row r="103" spans="1:14" ht="24.9" customHeight="1" x14ac:dyDescent="0.25">
      <c r="A103" s="117"/>
      <c r="B103" s="118"/>
      <c r="C103" s="115"/>
      <c r="D103" s="115"/>
      <c r="E103" s="115"/>
      <c r="F103" s="115"/>
      <c r="G103" s="129"/>
      <c r="H103" s="115"/>
      <c r="I103" s="115"/>
      <c r="J103" s="115"/>
      <c r="K103" s="115"/>
    </row>
    <row r="104" spans="1:14" ht="24.9" customHeight="1" x14ac:dyDescent="0.35">
      <c r="A104" s="376" t="s">
        <v>87</v>
      </c>
      <c r="B104" s="396"/>
      <c r="C104" s="396"/>
      <c r="D104" s="396"/>
      <c r="E104" s="353"/>
      <c r="F104" s="155" t="s">
        <v>256</v>
      </c>
      <c r="G104" s="399"/>
      <c r="H104" s="396"/>
      <c r="I104" s="353"/>
      <c r="J104" s="399"/>
      <c r="K104" s="353"/>
    </row>
    <row r="105" spans="1:14" ht="24.9" customHeight="1" x14ac:dyDescent="0.35">
      <c r="A105" s="395" t="s">
        <v>88</v>
      </c>
      <c r="B105" s="396"/>
      <c r="C105" s="396"/>
      <c r="D105" s="396"/>
      <c r="E105" s="353"/>
      <c r="F105" s="156" t="str">
        <f>F44</f>
        <v>000998</v>
      </c>
      <c r="G105" s="157" t="s">
        <v>89</v>
      </c>
      <c r="H105" s="158"/>
      <c r="I105" s="158"/>
      <c r="J105" s="405">
        <f>IF(F105="","",IF(F105&lt;=500,100,IF(F105&lt;=1500,1000,2000)))</f>
        <v>2000</v>
      </c>
      <c r="K105" s="363"/>
    </row>
    <row r="106" spans="1:14" ht="24.9" customHeight="1" x14ac:dyDescent="0.35">
      <c r="A106" s="395" t="s">
        <v>90</v>
      </c>
      <c r="B106" s="396"/>
      <c r="C106" s="396"/>
      <c r="D106" s="396"/>
      <c r="E106" s="353"/>
      <c r="F106" s="159">
        <f>DAYS360(F23,F60,0)/360</f>
        <v>3.6305555555555555</v>
      </c>
      <c r="G106" s="160" t="s">
        <v>91</v>
      </c>
      <c r="H106" s="161"/>
      <c r="I106" s="161"/>
      <c r="J106" s="395">
        <f>IF(OR(F104="",F106=""),"",IF(UPPER(F104)="no",IF(F106&lt;0.5,0,IF(F106&lt;1,5,IF(F106&lt;2,10,IF(F106&lt;3,15,IF(F106&lt;4,25,IF(F106&lt;5,35,IF(F106&lt;10,40,50))))))),0))</f>
        <v>25</v>
      </c>
      <c r="K106" s="353"/>
    </row>
    <row r="107" spans="1:14" ht="24.9" customHeight="1" x14ac:dyDescent="0.35">
      <c r="A107" s="395" t="s">
        <v>92</v>
      </c>
      <c r="B107" s="396"/>
      <c r="C107" s="396"/>
      <c r="D107" s="396"/>
      <c r="E107" s="353"/>
      <c r="F107" s="162">
        <v>18</v>
      </c>
      <c r="G107" s="160" t="s">
        <v>93</v>
      </c>
      <c r="H107" s="161"/>
      <c r="I107" s="161"/>
      <c r="J107" s="401">
        <v>18</v>
      </c>
      <c r="K107" s="353"/>
    </row>
    <row r="108" spans="1:14" ht="24.9" customHeight="1" x14ac:dyDescent="0.25">
      <c r="A108" s="115"/>
      <c r="B108" s="115"/>
      <c r="C108" s="115"/>
      <c r="D108" s="115"/>
      <c r="E108" s="115"/>
      <c r="F108" s="163"/>
      <c r="G108" s="115"/>
      <c r="H108" s="115"/>
      <c r="I108" s="115"/>
      <c r="J108" s="115"/>
      <c r="K108" s="115"/>
    </row>
    <row r="109" spans="1:14" ht="24.9" customHeight="1" x14ac:dyDescent="0.25">
      <c r="A109" s="115"/>
      <c r="B109" s="196" t="s">
        <v>94</v>
      </c>
      <c r="C109" s="115"/>
      <c r="D109" s="115"/>
      <c r="E109" s="115"/>
      <c r="F109" s="115"/>
      <c r="G109" s="115"/>
      <c r="H109" s="115"/>
      <c r="I109" s="115"/>
      <c r="J109" s="115"/>
      <c r="K109" s="115"/>
    </row>
    <row r="110" spans="1:14" ht="24.9" customHeight="1" x14ac:dyDescent="0.25">
      <c r="A110" s="115"/>
      <c r="B110" s="115"/>
      <c r="C110" s="115"/>
      <c r="D110" s="115"/>
      <c r="E110" s="115"/>
      <c r="F110" s="115"/>
      <c r="G110" s="115"/>
      <c r="H110" s="115"/>
      <c r="I110" s="115"/>
      <c r="J110" s="115"/>
      <c r="K110" s="115"/>
      <c r="L110"/>
      <c r="M110"/>
      <c r="N110"/>
    </row>
    <row r="111" spans="1:14" ht="24.9" customHeight="1" x14ac:dyDescent="0.25">
      <c r="A111" s="164" t="s">
        <v>95</v>
      </c>
      <c r="B111" s="165" t="s">
        <v>96</v>
      </c>
      <c r="C111" s="166"/>
      <c r="D111" s="167"/>
      <c r="E111" s="164" t="s">
        <v>97</v>
      </c>
      <c r="F111" s="164" t="s">
        <v>98</v>
      </c>
      <c r="G111" s="164" t="s">
        <v>99</v>
      </c>
      <c r="H111" s="164" t="s">
        <v>100</v>
      </c>
      <c r="I111" s="164" t="s">
        <v>101</v>
      </c>
      <c r="J111" s="164" t="s">
        <v>102</v>
      </c>
      <c r="K111" s="164" t="s">
        <v>103</v>
      </c>
      <c r="L111"/>
      <c r="M111"/>
      <c r="N111"/>
    </row>
    <row r="112" spans="1:14" ht="24.9" customHeight="1" x14ac:dyDescent="0.35">
      <c r="A112" s="205">
        <v>1</v>
      </c>
      <c r="B112" s="348" t="s">
        <v>333</v>
      </c>
      <c r="C112" s="349"/>
      <c r="D112" s="350"/>
      <c r="E112" s="198">
        <v>12720</v>
      </c>
      <c r="F112" s="198">
        <v>0</v>
      </c>
      <c r="G112" s="198">
        <v>0</v>
      </c>
      <c r="H112" s="198">
        <v>0</v>
      </c>
      <c r="I112" s="198">
        <v>0</v>
      </c>
      <c r="J112" s="206">
        <v>0</v>
      </c>
      <c r="K112" s="207">
        <v>18</v>
      </c>
      <c r="M112"/>
    </row>
    <row r="113" spans="1:13" s="96" customFormat="1" ht="24.9" customHeight="1" x14ac:dyDescent="0.25">
      <c r="A113" s="208">
        <v>2</v>
      </c>
      <c r="B113" s="413" t="s">
        <v>334</v>
      </c>
      <c r="C113" s="414"/>
      <c r="D113" s="415"/>
      <c r="E113" s="209">
        <v>64400</v>
      </c>
      <c r="F113" s="209">
        <v>0</v>
      </c>
      <c r="G113" s="209">
        <v>0</v>
      </c>
      <c r="H113" s="209">
        <v>0</v>
      </c>
      <c r="I113" s="209">
        <v>0</v>
      </c>
      <c r="J113" s="210">
        <v>0</v>
      </c>
      <c r="K113" s="211">
        <v>18</v>
      </c>
    </row>
    <row r="114" spans="1:13" ht="24.9" customHeight="1" x14ac:dyDescent="0.35">
      <c r="A114" s="205">
        <v>3</v>
      </c>
      <c r="B114" s="420" t="s">
        <v>335</v>
      </c>
      <c r="C114" s="349"/>
      <c r="D114" s="350"/>
      <c r="E114" s="198">
        <v>2660</v>
      </c>
      <c r="F114" s="198">
        <v>0</v>
      </c>
      <c r="G114" s="198">
        <v>0</v>
      </c>
      <c r="H114" s="198">
        <v>0</v>
      </c>
      <c r="I114" s="198">
        <v>0</v>
      </c>
      <c r="J114" s="206">
        <v>0</v>
      </c>
      <c r="K114" s="207">
        <v>18</v>
      </c>
    </row>
    <row r="115" spans="1:13" ht="24.9" customHeight="1" x14ac:dyDescent="0.35">
      <c r="A115" s="205">
        <v>4</v>
      </c>
      <c r="B115" s="348" t="s">
        <v>336</v>
      </c>
      <c r="C115" s="349"/>
      <c r="D115" s="350"/>
      <c r="E115" s="198">
        <v>5790</v>
      </c>
      <c r="F115" s="198">
        <v>0</v>
      </c>
      <c r="G115" s="198">
        <v>0</v>
      </c>
      <c r="H115" s="198">
        <v>0</v>
      </c>
      <c r="I115" s="198">
        <v>0</v>
      </c>
      <c r="J115" s="206">
        <v>0</v>
      </c>
      <c r="K115" s="207">
        <v>18</v>
      </c>
    </row>
    <row r="116" spans="1:13" ht="24.9" customHeight="1" x14ac:dyDescent="0.35">
      <c r="A116" s="205">
        <v>5</v>
      </c>
      <c r="B116" s="348" t="s">
        <v>337</v>
      </c>
      <c r="C116" s="349"/>
      <c r="D116" s="350"/>
      <c r="E116" s="198">
        <v>4830</v>
      </c>
      <c r="F116" s="198">
        <v>0</v>
      </c>
      <c r="G116" s="198">
        <v>0</v>
      </c>
      <c r="H116" s="198">
        <v>0</v>
      </c>
      <c r="I116" s="198">
        <v>0</v>
      </c>
      <c r="J116" s="206">
        <v>0</v>
      </c>
      <c r="K116" s="207">
        <v>18</v>
      </c>
      <c r="M116"/>
    </row>
    <row r="117" spans="1:13" ht="24.9" customHeight="1" x14ac:dyDescent="0.35">
      <c r="A117" s="205">
        <v>6</v>
      </c>
      <c r="B117" s="348" t="s">
        <v>338</v>
      </c>
      <c r="C117" s="349"/>
      <c r="D117" s="350"/>
      <c r="E117" s="198">
        <v>12070</v>
      </c>
      <c r="F117" s="198">
        <v>0</v>
      </c>
      <c r="G117" s="198">
        <v>0</v>
      </c>
      <c r="H117" s="198">
        <v>0</v>
      </c>
      <c r="I117" s="198">
        <v>0</v>
      </c>
      <c r="J117" s="206">
        <v>0</v>
      </c>
      <c r="K117" s="207">
        <v>18</v>
      </c>
      <c r="M117"/>
    </row>
    <row r="118" spans="1:13" ht="24.9" customHeight="1" x14ac:dyDescent="0.35">
      <c r="A118" s="205">
        <v>7</v>
      </c>
      <c r="B118" s="348" t="s">
        <v>339</v>
      </c>
      <c r="C118" s="349"/>
      <c r="D118" s="350"/>
      <c r="E118" s="198">
        <v>37580</v>
      </c>
      <c r="F118" s="198">
        <v>0</v>
      </c>
      <c r="G118" s="198">
        <v>0</v>
      </c>
      <c r="H118" s="198">
        <v>0</v>
      </c>
      <c r="I118" s="198">
        <v>0</v>
      </c>
      <c r="J118" s="206">
        <v>0</v>
      </c>
      <c r="K118" s="207">
        <v>18</v>
      </c>
      <c r="M118"/>
    </row>
    <row r="119" spans="1:13" ht="24.9" customHeight="1" x14ac:dyDescent="0.35">
      <c r="A119" s="205">
        <v>8</v>
      </c>
      <c r="B119" s="348" t="s">
        <v>340</v>
      </c>
      <c r="C119" s="349"/>
      <c r="D119" s="350"/>
      <c r="E119" s="198">
        <v>9780</v>
      </c>
      <c r="F119" s="198">
        <v>0</v>
      </c>
      <c r="G119" s="198">
        <v>0</v>
      </c>
      <c r="H119" s="198">
        <v>0</v>
      </c>
      <c r="I119" s="198">
        <v>0</v>
      </c>
      <c r="J119" s="206">
        <v>0</v>
      </c>
      <c r="K119" s="207">
        <v>18</v>
      </c>
      <c r="M119"/>
    </row>
    <row r="120" spans="1:13" ht="24.9" customHeight="1" x14ac:dyDescent="0.35">
      <c r="A120" s="205">
        <v>9</v>
      </c>
      <c r="B120" s="348" t="s">
        <v>341</v>
      </c>
      <c r="C120" s="349"/>
      <c r="D120" s="350"/>
      <c r="E120" s="198">
        <v>21760</v>
      </c>
      <c r="F120" s="198">
        <v>0</v>
      </c>
      <c r="G120" s="198">
        <v>0</v>
      </c>
      <c r="H120" s="198">
        <v>0</v>
      </c>
      <c r="I120" s="198">
        <v>0</v>
      </c>
      <c r="J120" s="206">
        <v>0</v>
      </c>
      <c r="K120" s="207">
        <v>18</v>
      </c>
      <c r="M120"/>
    </row>
    <row r="121" spans="1:13" ht="24.9" customHeight="1" x14ac:dyDescent="0.35">
      <c r="A121" s="205">
        <v>10</v>
      </c>
      <c r="B121" s="348" t="s">
        <v>342</v>
      </c>
      <c r="C121" s="349"/>
      <c r="D121" s="350"/>
      <c r="E121" s="198">
        <v>12620</v>
      </c>
      <c r="F121" s="198">
        <v>0</v>
      </c>
      <c r="G121" s="198">
        <v>0</v>
      </c>
      <c r="H121" s="198">
        <v>0</v>
      </c>
      <c r="I121" s="198">
        <v>0</v>
      </c>
      <c r="J121" s="206">
        <v>0</v>
      </c>
      <c r="K121" s="207">
        <v>18</v>
      </c>
      <c r="M121"/>
    </row>
    <row r="122" spans="1:13" ht="24.9" customHeight="1" x14ac:dyDescent="0.35">
      <c r="A122" s="205">
        <v>11</v>
      </c>
      <c r="B122" s="348" t="s">
        <v>343</v>
      </c>
      <c r="C122" s="349"/>
      <c r="D122" s="350"/>
      <c r="E122" s="198">
        <v>2750</v>
      </c>
      <c r="F122" s="198">
        <v>0</v>
      </c>
      <c r="G122" s="198">
        <v>0</v>
      </c>
      <c r="H122" s="198">
        <v>0</v>
      </c>
      <c r="I122" s="198">
        <v>0</v>
      </c>
      <c r="J122" s="206">
        <v>0</v>
      </c>
      <c r="K122" s="207">
        <v>18</v>
      </c>
      <c r="M122"/>
    </row>
    <row r="123" spans="1:13" ht="24.9" customHeight="1" x14ac:dyDescent="0.35">
      <c r="A123" s="205">
        <v>12</v>
      </c>
      <c r="B123" s="348" t="s">
        <v>344</v>
      </c>
      <c r="C123" s="349"/>
      <c r="D123" s="350"/>
      <c r="E123" s="198">
        <v>15180</v>
      </c>
      <c r="F123" s="198">
        <v>0</v>
      </c>
      <c r="G123" s="198">
        <v>0</v>
      </c>
      <c r="H123" s="198">
        <v>0</v>
      </c>
      <c r="I123" s="198">
        <v>0</v>
      </c>
      <c r="J123" s="206">
        <v>0</v>
      </c>
      <c r="K123" s="207">
        <v>18</v>
      </c>
      <c r="M123"/>
    </row>
    <row r="124" spans="1:13" ht="24.9" customHeight="1" x14ac:dyDescent="0.35">
      <c r="A124" s="205">
        <v>13</v>
      </c>
      <c r="B124" s="348" t="s">
        <v>345</v>
      </c>
      <c r="C124" s="349"/>
      <c r="D124" s="350"/>
      <c r="E124" s="198">
        <v>2330</v>
      </c>
      <c r="F124" s="198">
        <v>0</v>
      </c>
      <c r="G124" s="198">
        <v>0</v>
      </c>
      <c r="H124" s="198">
        <v>0</v>
      </c>
      <c r="I124" s="198">
        <v>0</v>
      </c>
      <c r="J124" s="206">
        <v>0</v>
      </c>
      <c r="K124" s="207">
        <v>18</v>
      </c>
      <c r="M124"/>
    </row>
    <row r="125" spans="1:13" ht="24.9" customHeight="1" x14ac:dyDescent="0.35">
      <c r="A125" s="205">
        <v>14</v>
      </c>
      <c r="B125" s="348" t="s">
        <v>346</v>
      </c>
      <c r="C125" s="349"/>
      <c r="D125" s="350"/>
      <c r="E125" s="198">
        <v>46220</v>
      </c>
      <c r="F125" s="198">
        <v>0</v>
      </c>
      <c r="G125" s="198">
        <v>0</v>
      </c>
      <c r="H125" s="198">
        <v>0</v>
      </c>
      <c r="I125" s="198">
        <v>0</v>
      </c>
      <c r="J125" s="206">
        <v>0</v>
      </c>
      <c r="K125" s="207">
        <v>18</v>
      </c>
      <c r="M125"/>
    </row>
    <row r="126" spans="1:13" ht="24.9" customHeight="1" x14ac:dyDescent="0.35">
      <c r="A126" s="205">
        <v>15</v>
      </c>
      <c r="B126" s="348" t="s">
        <v>347</v>
      </c>
      <c r="C126" s="349"/>
      <c r="D126" s="350"/>
      <c r="E126" s="198">
        <v>5910</v>
      </c>
      <c r="F126" s="198">
        <v>0</v>
      </c>
      <c r="G126" s="198">
        <v>0</v>
      </c>
      <c r="H126" s="198">
        <v>0</v>
      </c>
      <c r="I126" s="198">
        <v>0</v>
      </c>
      <c r="J126" s="206">
        <v>0</v>
      </c>
      <c r="K126" s="207">
        <v>18</v>
      </c>
      <c r="M126"/>
    </row>
    <row r="127" spans="1:13" ht="24.9" customHeight="1" x14ac:dyDescent="0.35">
      <c r="A127" s="205">
        <v>16</v>
      </c>
      <c r="B127" s="348" t="s">
        <v>348</v>
      </c>
      <c r="C127" s="349"/>
      <c r="D127" s="350"/>
      <c r="E127" s="198">
        <v>11200</v>
      </c>
      <c r="F127" s="198">
        <v>0</v>
      </c>
      <c r="G127" s="198">
        <v>0</v>
      </c>
      <c r="H127" s="198">
        <v>0</v>
      </c>
      <c r="I127" s="198">
        <v>0</v>
      </c>
      <c r="J127" s="206">
        <v>0</v>
      </c>
      <c r="K127" s="207">
        <v>18</v>
      </c>
      <c r="M127"/>
    </row>
    <row r="128" spans="1:13" ht="24.9" customHeight="1" x14ac:dyDescent="0.35">
      <c r="A128" s="205">
        <v>17</v>
      </c>
      <c r="B128" s="348" t="s">
        <v>349</v>
      </c>
      <c r="C128" s="349"/>
      <c r="D128" s="350"/>
      <c r="E128" s="198">
        <v>39690</v>
      </c>
      <c r="F128" s="198">
        <v>0</v>
      </c>
      <c r="G128" s="198">
        <v>0</v>
      </c>
      <c r="H128" s="198">
        <v>0</v>
      </c>
      <c r="I128" s="198">
        <v>0</v>
      </c>
      <c r="J128" s="206">
        <v>0</v>
      </c>
      <c r="K128" s="207">
        <v>18</v>
      </c>
      <c r="M128"/>
    </row>
    <row r="129" spans="1:13" ht="24.9" customHeight="1" x14ac:dyDescent="0.35">
      <c r="A129" s="205">
        <v>18</v>
      </c>
      <c r="B129" s="348" t="s">
        <v>350</v>
      </c>
      <c r="C129" s="349"/>
      <c r="D129" s="350"/>
      <c r="E129" s="198">
        <v>132710</v>
      </c>
      <c r="F129" s="198">
        <v>0</v>
      </c>
      <c r="G129" s="198">
        <v>0</v>
      </c>
      <c r="H129" s="198">
        <v>0</v>
      </c>
      <c r="I129" s="198">
        <v>0</v>
      </c>
      <c r="J129" s="206">
        <v>0</v>
      </c>
      <c r="K129" s="207">
        <v>18</v>
      </c>
      <c r="M129"/>
    </row>
    <row r="130" spans="1:13" ht="24.9" customHeight="1" x14ac:dyDescent="0.35">
      <c r="A130" s="205">
        <v>19</v>
      </c>
      <c r="B130" s="348" t="s">
        <v>351</v>
      </c>
      <c r="C130" s="349"/>
      <c r="D130" s="350"/>
      <c r="E130" s="198">
        <v>22360</v>
      </c>
      <c r="F130" s="198">
        <v>0</v>
      </c>
      <c r="G130" s="198">
        <v>0</v>
      </c>
      <c r="H130" s="198">
        <v>0</v>
      </c>
      <c r="I130" s="198">
        <v>0</v>
      </c>
      <c r="J130" s="206">
        <v>0</v>
      </c>
      <c r="K130" s="207">
        <v>18</v>
      </c>
      <c r="M130"/>
    </row>
    <row r="131" spans="1:13" ht="24.9" customHeight="1" x14ac:dyDescent="0.35">
      <c r="A131" s="205">
        <v>20</v>
      </c>
      <c r="B131" s="348" t="s">
        <v>352</v>
      </c>
      <c r="C131" s="349"/>
      <c r="D131" s="350"/>
      <c r="E131" s="198">
        <v>1300</v>
      </c>
      <c r="F131" s="198">
        <v>0</v>
      </c>
      <c r="G131" s="198">
        <v>0</v>
      </c>
      <c r="H131" s="198">
        <v>0</v>
      </c>
      <c r="I131" s="198">
        <v>0</v>
      </c>
      <c r="J131" s="206">
        <v>0</v>
      </c>
      <c r="K131" s="207">
        <v>18</v>
      </c>
      <c r="M131"/>
    </row>
    <row r="132" spans="1:13" ht="24.9" customHeight="1" x14ac:dyDescent="0.35">
      <c r="A132" s="205">
        <v>21</v>
      </c>
      <c r="B132" s="348" t="s">
        <v>353</v>
      </c>
      <c r="C132" s="349"/>
      <c r="D132" s="350"/>
      <c r="E132" s="198">
        <v>41370</v>
      </c>
      <c r="F132" s="198">
        <v>0</v>
      </c>
      <c r="G132" s="198">
        <v>0</v>
      </c>
      <c r="H132" s="198">
        <v>0</v>
      </c>
      <c r="I132" s="198">
        <v>0</v>
      </c>
      <c r="J132" s="206">
        <v>0</v>
      </c>
      <c r="K132" s="207">
        <v>18</v>
      </c>
      <c r="M132"/>
    </row>
    <row r="133" spans="1:13" ht="24.9" customHeight="1" x14ac:dyDescent="0.35">
      <c r="A133" s="205">
        <v>22</v>
      </c>
      <c r="B133" s="348" t="s">
        <v>354</v>
      </c>
      <c r="C133" s="349"/>
      <c r="D133" s="350"/>
      <c r="E133" s="198">
        <v>590</v>
      </c>
      <c r="F133" s="198">
        <v>0</v>
      </c>
      <c r="G133" s="198">
        <v>0</v>
      </c>
      <c r="H133" s="198">
        <v>0</v>
      </c>
      <c r="I133" s="198">
        <v>0</v>
      </c>
      <c r="J133" s="206">
        <v>0</v>
      </c>
      <c r="K133" s="207">
        <v>18</v>
      </c>
      <c r="M133"/>
    </row>
    <row r="134" spans="1:13" ht="24.9" customHeight="1" x14ac:dyDescent="0.35">
      <c r="A134" s="205">
        <v>23</v>
      </c>
      <c r="B134" s="348" t="s">
        <v>355</v>
      </c>
      <c r="C134" s="349"/>
      <c r="D134" s="350"/>
      <c r="E134" s="198">
        <v>2330</v>
      </c>
      <c r="F134" s="198">
        <v>0</v>
      </c>
      <c r="G134" s="198">
        <v>0</v>
      </c>
      <c r="H134" s="198">
        <v>0</v>
      </c>
      <c r="I134" s="198">
        <v>0</v>
      </c>
      <c r="J134" s="206">
        <v>0</v>
      </c>
      <c r="K134" s="207">
        <v>18</v>
      </c>
      <c r="M134"/>
    </row>
    <row r="135" spans="1:13" ht="24.9" customHeight="1" x14ac:dyDescent="0.35">
      <c r="A135" s="205">
        <v>24</v>
      </c>
      <c r="B135" s="348" t="s">
        <v>356</v>
      </c>
      <c r="C135" s="349"/>
      <c r="D135" s="350"/>
      <c r="E135" s="198">
        <v>2330</v>
      </c>
      <c r="F135" s="198">
        <v>0</v>
      </c>
      <c r="G135" s="198">
        <v>0</v>
      </c>
      <c r="H135" s="198">
        <v>0</v>
      </c>
      <c r="I135" s="198">
        <v>0</v>
      </c>
      <c r="J135" s="206">
        <v>0</v>
      </c>
      <c r="K135" s="207">
        <v>18</v>
      </c>
      <c r="M135"/>
    </row>
    <row r="136" spans="1:13" ht="24.9" customHeight="1" x14ac:dyDescent="0.35">
      <c r="A136" s="205">
        <v>25</v>
      </c>
      <c r="B136" s="348" t="s">
        <v>357</v>
      </c>
      <c r="C136" s="349"/>
      <c r="D136" s="350"/>
      <c r="E136" s="198">
        <v>38400</v>
      </c>
      <c r="F136" s="198">
        <v>0</v>
      </c>
      <c r="G136" s="198">
        <v>0</v>
      </c>
      <c r="H136" s="198">
        <v>0</v>
      </c>
      <c r="I136" s="198">
        <v>0</v>
      </c>
      <c r="J136" s="206">
        <v>0</v>
      </c>
      <c r="K136" s="207">
        <v>18</v>
      </c>
      <c r="M136"/>
    </row>
    <row r="137" spans="1:13" ht="24.9" customHeight="1" x14ac:dyDescent="0.35">
      <c r="A137" s="205">
        <v>26</v>
      </c>
      <c r="B137" s="348" t="s">
        <v>358</v>
      </c>
      <c r="C137" s="349"/>
      <c r="D137" s="350"/>
      <c r="E137" s="198">
        <v>38400</v>
      </c>
      <c r="F137" s="198">
        <v>0</v>
      </c>
      <c r="G137" s="198">
        <v>0</v>
      </c>
      <c r="H137" s="198">
        <v>0</v>
      </c>
      <c r="I137" s="198">
        <v>0</v>
      </c>
      <c r="J137" s="206">
        <v>0</v>
      </c>
      <c r="K137" s="207">
        <v>18</v>
      </c>
      <c r="M137"/>
    </row>
    <row r="138" spans="1:13" ht="24.9" customHeight="1" x14ac:dyDescent="0.35">
      <c r="A138" s="205">
        <v>27</v>
      </c>
      <c r="B138" s="348" t="s">
        <v>359</v>
      </c>
      <c r="C138" s="349"/>
      <c r="D138" s="350"/>
      <c r="E138" s="198">
        <v>3380</v>
      </c>
      <c r="F138" s="198">
        <v>0</v>
      </c>
      <c r="G138" s="198">
        <v>0</v>
      </c>
      <c r="H138" s="198">
        <v>0</v>
      </c>
      <c r="I138" s="198">
        <v>0</v>
      </c>
      <c r="J138" s="206">
        <v>0</v>
      </c>
      <c r="K138" s="207">
        <v>18</v>
      </c>
      <c r="M138"/>
    </row>
    <row r="139" spans="1:13" ht="24.9" customHeight="1" x14ac:dyDescent="0.35">
      <c r="A139" s="205">
        <v>28</v>
      </c>
      <c r="B139" s="348" t="s">
        <v>360</v>
      </c>
      <c r="C139" s="349"/>
      <c r="D139" s="350"/>
      <c r="E139" s="198">
        <v>12590</v>
      </c>
      <c r="F139" s="198">
        <v>0</v>
      </c>
      <c r="G139" s="198">
        <v>0</v>
      </c>
      <c r="H139" s="198">
        <v>0</v>
      </c>
      <c r="I139" s="198">
        <v>0</v>
      </c>
      <c r="J139" s="206">
        <v>0</v>
      </c>
      <c r="K139" s="207">
        <v>18</v>
      </c>
      <c r="M139"/>
    </row>
    <row r="140" spans="1:13" ht="24.9" customHeight="1" x14ac:dyDescent="0.35">
      <c r="A140" s="205">
        <v>29</v>
      </c>
      <c r="B140" s="348" t="s">
        <v>361</v>
      </c>
      <c r="C140" s="349"/>
      <c r="D140" s="350"/>
      <c r="E140" s="198">
        <v>88530</v>
      </c>
      <c r="F140" s="198">
        <v>0</v>
      </c>
      <c r="G140" s="198">
        <v>0</v>
      </c>
      <c r="H140" s="198">
        <v>0</v>
      </c>
      <c r="I140" s="198">
        <v>0</v>
      </c>
      <c r="J140" s="206">
        <v>0</v>
      </c>
      <c r="K140" s="207">
        <v>18</v>
      </c>
      <c r="M140"/>
    </row>
    <row r="141" spans="1:13" ht="24.9" customHeight="1" x14ac:dyDescent="0.35">
      <c r="A141" s="205">
        <v>30</v>
      </c>
      <c r="B141" s="348" t="s">
        <v>362</v>
      </c>
      <c r="C141" s="349"/>
      <c r="D141" s="350"/>
      <c r="E141" s="198">
        <v>2910</v>
      </c>
      <c r="F141" s="198">
        <v>0</v>
      </c>
      <c r="G141" s="198">
        <v>0</v>
      </c>
      <c r="H141" s="198">
        <v>0</v>
      </c>
      <c r="I141" s="198">
        <v>0</v>
      </c>
      <c r="J141" s="206">
        <v>0</v>
      </c>
      <c r="K141" s="207">
        <v>18</v>
      </c>
      <c r="M141"/>
    </row>
    <row r="142" spans="1:13" ht="24.9" customHeight="1" x14ac:dyDescent="0.35">
      <c r="A142" s="205">
        <v>31</v>
      </c>
      <c r="B142" s="348" t="s">
        <v>363</v>
      </c>
      <c r="C142" s="349"/>
      <c r="D142" s="350"/>
      <c r="E142" s="198">
        <v>2910</v>
      </c>
      <c r="F142" s="198">
        <v>0</v>
      </c>
      <c r="G142" s="198">
        <v>0</v>
      </c>
      <c r="H142" s="198">
        <v>0</v>
      </c>
      <c r="I142" s="198">
        <v>0</v>
      </c>
      <c r="J142" s="206">
        <v>0</v>
      </c>
      <c r="K142" s="207">
        <v>18</v>
      </c>
      <c r="M142"/>
    </row>
    <row r="143" spans="1:13" ht="24.9" customHeight="1" x14ac:dyDescent="0.35">
      <c r="A143" s="205">
        <v>32</v>
      </c>
      <c r="B143" s="348" t="s">
        <v>364</v>
      </c>
      <c r="C143" s="349"/>
      <c r="D143" s="350"/>
      <c r="E143" s="198">
        <v>130</v>
      </c>
      <c r="F143" s="198">
        <v>0</v>
      </c>
      <c r="G143" s="198">
        <v>0</v>
      </c>
      <c r="H143" s="198">
        <v>0</v>
      </c>
      <c r="I143" s="198">
        <v>0</v>
      </c>
      <c r="J143" s="206">
        <v>0</v>
      </c>
      <c r="K143" s="207">
        <v>18</v>
      </c>
      <c r="M143"/>
    </row>
    <row r="144" spans="1:13" ht="24.9" customHeight="1" x14ac:dyDescent="0.35">
      <c r="A144" s="205">
        <v>33</v>
      </c>
      <c r="B144" s="348" t="s">
        <v>365</v>
      </c>
      <c r="C144" s="349"/>
      <c r="D144" s="350"/>
      <c r="E144" s="198">
        <v>16889.830000000002</v>
      </c>
      <c r="F144" s="198">
        <v>0</v>
      </c>
      <c r="G144" s="198">
        <v>0</v>
      </c>
      <c r="H144" s="198">
        <v>0</v>
      </c>
      <c r="I144" s="198">
        <v>9937.5</v>
      </c>
      <c r="J144" s="206">
        <v>1</v>
      </c>
      <c r="K144" s="207">
        <v>18</v>
      </c>
      <c r="M144"/>
    </row>
    <row r="145" spans="1:13" ht="24.9" customHeight="1" x14ac:dyDescent="0.35">
      <c r="A145" s="205">
        <v>34</v>
      </c>
      <c r="B145" s="348" t="s">
        <v>366</v>
      </c>
      <c r="C145" s="349"/>
      <c r="D145" s="350"/>
      <c r="E145" s="198">
        <v>832.2</v>
      </c>
      <c r="F145" s="198">
        <v>0</v>
      </c>
      <c r="G145" s="198">
        <v>0</v>
      </c>
      <c r="H145" s="198">
        <v>0</v>
      </c>
      <c r="I145" s="198">
        <v>3773.44</v>
      </c>
      <c r="J145" s="206">
        <v>2</v>
      </c>
      <c r="K145" s="207">
        <v>18</v>
      </c>
      <c r="M145"/>
    </row>
    <row r="146" spans="1:13" ht="24.9" customHeight="1" x14ac:dyDescent="0.35">
      <c r="A146" s="205">
        <v>35</v>
      </c>
      <c r="B146" s="348" t="s">
        <v>367</v>
      </c>
      <c r="C146" s="349"/>
      <c r="D146" s="350"/>
      <c r="E146" s="198">
        <v>297.54000000000002</v>
      </c>
      <c r="F146" s="198">
        <v>0</v>
      </c>
      <c r="G146" s="198">
        <v>0</v>
      </c>
      <c r="H146" s="198">
        <v>0</v>
      </c>
      <c r="I146" s="198">
        <v>9429.69</v>
      </c>
      <c r="J146" s="206">
        <v>3</v>
      </c>
      <c r="K146" s="207">
        <v>18</v>
      </c>
      <c r="M146"/>
    </row>
    <row r="147" spans="1:13" ht="24.9" customHeight="1" x14ac:dyDescent="0.35">
      <c r="A147" s="205">
        <v>36</v>
      </c>
      <c r="B147" s="348" t="s">
        <v>368</v>
      </c>
      <c r="C147" s="349"/>
      <c r="D147" s="350"/>
      <c r="E147" s="198">
        <v>4275.78</v>
      </c>
      <c r="F147" s="198">
        <v>0</v>
      </c>
      <c r="G147" s="198">
        <v>0</v>
      </c>
      <c r="H147" s="198">
        <v>0</v>
      </c>
      <c r="I147" s="198">
        <v>7640.63</v>
      </c>
      <c r="J147" s="206">
        <v>4</v>
      </c>
      <c r="K147" s="207">
        <v>18</v>
      </c>
      <c r="M147"/>
    </row>
    <row r="148" spans="1:13" ht="24.9" customHeight="1" x14ac:dyDescent="0.35">
      <c r="A148" s="205">
        <v>37</v>
      </c>
      <c r="B148" s="348" t="s">
        <v>369</v>
      </c>
      <c r="C148" s="349"/>
      <c r="D148" s="350"/>
      <c r="E148" s="198">
        <v>115.63</v>
      </c>
      <c r="F148" s="198">
        <v>0</v>
      </c>
      <c r="G148" s="198">
        <v>0</v>
      </c>
      <c r="H148" s="198">
        <v>0</v>
      </c>
      <c r="I148" s="198">
        <v>17000</v>
      </c>
      <c r="J148" s="206">
        <v>5</v>
      </c>
      <c r="K148" s="207">
        <v>18</v>
      </c>
      <c r="M148"/>
    </row>
    <row r="149" spans="1:13" ht="24.9" customHeight="1" x14ac:dyDescent="0.35">
      <c r="A149" s="205">
        <v>38</v>
      </c>
      <c r="B149" s="348" t="s">
        <v>370</v>
      </c>
      <c r="C149" s="349"/>
      <c r="D149" s="350"/>
      <c r="E149" s="198">
        <v>1357.81</v>
      </c>
      <c r="F149" s="198">
        <v>0</v>
      </c>
      <c r="G149" s="198">
        <v>0</v>
      </c>
      <c r="H149" s="198">
        <v>0</v>
      </c>
      <c r="I149" s="198">
        <v>10694.92</v>
      </c>
      <c r="J149" s="206">
        <v>6</v>
      </c>
      <c r="K149" s="207">
        <v>18</v>
      </c>
      <c r="M149"/>
    </row>
    <row r="150" spans="1:13" ht="24.9" customHeight="1" x14ac:dyDescent="0.35">
      <c r="A150" s="205">
        <v>39</v>
      </c>
      <c r="B150" s="348" t="s">
        <v>371</v>
      </c>
      <c r="C150" s="349"/>
      <c r="D150" s="350"/>
      <c r="E150" s="198">
        <v>7303.39</v>
      </c>
      <c r="F150" s="198">
        <v>0</v>
      </c>
      <c r="G150" s="198">
        <v>0</v>
      </c>
      <c r="H150" s="198">
        <v>0</v>
      </c>
      <c r="I150" s="198">
        <v>2148.44</v>
      </c>
      <c r="J150" s="206">
        <v>7</v>
      </c>
      <c r="K150" s="207">
        <v>18</v>
      </c>
      <c r="M150"/>
    </row>
    <row r="151" spans="1:13" ht="24.9" customHeight="1" x14ac:dyDescent="0.35">
      <c r="A151" s="205">
        <v>40</v>
      </c>
      <c r="B151" s="348" t="s">
        <v>372</v>
      </c>
      <c r="C151" s="349"/>
      <c r="D151" s="350"/>
      <c r="E151" s="198">
        <v>628.80999999999995</v>
      </c>
      <c r="F151" s="198">
        <v>0</v>
      </c>
      <c r="G151" s="198">
        <v>0</v>
      </c>
      <c r="H151" s="198">
        <v>0</v>
      </c>
      <c r="I151" s="198">
        <v>11859.38</v>
      </c>
      <c r="J151" s="206">
        <v>8</v>
      </c>
      <c r="K151" s="207">
        <v>18</v>
      </c>
      <c r="M151"/>
    </row>
    <row r="152" spans="1:13" ht="24.9" customHeight="1" x14ac:dyDescent="0.35">
      <c r="A152" s="205">
        <v>41</v>
      </c>
      <c r="B152" s="348" t="s">
        <v>373</v>
      </c>
      <c r="C152" s="349"/>
      <c r="D152" s="350"/>
      <c r="E152" s="198">
        <v>295.76</v>
      </c>
      <c r="F152" s="198">
        <v>0</v>
      </c>
      <c r="G152" s="198">
        <v>0</v>
      </c>
      <c r="H152" s="198">
        <v>0</v>
      </c>
      <c r="I152" s="198">
        <v>36109.379999999997</v>
      </c>
      <c r="J152" s="206">
        <v>9</v>
      </c>
      <c r="K152" s="207">
        <v>18</v>
      </c>
      <c r="M152"/>
    </row>
    <row r="153" spans="1:13" ht="24.9" customHeight="1" x14ac:dyDescent="0.35">
      <c r="A153" s="205">
        <v>42</v>
      </c>
      <c r="B153" s="348" t="s">
        <v>374</v>
      </c>
      <c r="C153" s="349"/>
      <c r="D153" s="350"/>
      <c r="E153" s="198">
        <v>3594.53</v>
      </c>
      <c r="F153" s="198">
        <v>0</v>
      </c>
      <c r="G153" s="198">
        <v>0</v>
      </c>
      <c r="H153" s="198">
        <v>0</v>
      </c>
      <c r="I153" s="198">
        <v>4617.1899999999996</v>
      </c>
      <c r="J153" s="206">
        <v>10</v>
      </c>
      <c r="K153" s="207">
        <v>18</v>
      </c>
      <c r="M153"/>
    </row>
    <row r="154" spans="1:13" ht="24.9" customHeight="1" x14ac:dyDescent="0.35">
      <c r="A154" s="205">
        <v>43</v>
      </c>
      <c r="B154" s="348" t="s">
        <v>375</v>
      </c>
      <c r="C154" s="349"/>
      <c r="D154" s="350"/>
      <c r="E154" s="198">
        <v>1795.76</v>
      </c>
      <c r="F154" s="198">
        <v>0</v>
      </c>
      <c r="G154" s="198">
        <v>0</v>
      </c>
      <c r="H154" s="198">
        <v>0</v>
      </c>
      <c r="I154" s="198">
        <v>8750</v>
      </c>
      <c r="J154" s="206">
        <v>11</v>
      </c>
      <c r="K154" s="207">
        <v>18</v>
      </c>
      <c r="M154"/>
    </row>
    <row r="155" spans="1:13" ht="24.9" customHeight="1" x14ac:dyDescent="0.35">
      <c r="A155" s="205">
        <v>44</v>
      </c>
      <c r="B155" s="348" t="s">
        <v>376</v>
      </c>
      <c r="C155" s="349"/>
      <c r="D155" s="350"/>
      <c r="E155" s="198">
        <v>351.54</v>
      </c>
      <c r="F155" s="198">
        <v>0</v>
      </c>
      <c r="G155" s="198">
        <v>0</v>
      </c>
      <c r="H155" s="198">
        <v>0</v>
      </c>
      <c r="I155" s="198">
        <v>31007.81</v>
      </c>
      <c r="J155" s="206">
        <v>12</v>
      </c>
      <c r="K155" s="207">
        <v>18</v>
      </c>
      <c r="M155"/>
    </row>
    <row r="156" spans="1:13" ht="24.9" customHeight="1" x14ac:dyDescent="0.35">
      <c r="A156" s="205">
        <v>45</v>
      </c>
      <c r="B156" s="348" t="s">
        <v>377</v>
      </c>
      <c r="C156" s="349"/>
      <c r="D156" s="350"/>
      <c r="E156" s="198">
        <v>8745.7999999999993</v>
      </c>
      <c r="F156" s="198">
        <v>0</v>
      </c>
      <c r="G156" s="198">
        <v>0</v>
      </c>
      <c r="H156" s="198">
        <v>0</v>
      </c>
      <c r="I156" s="198">
        <v>103679.69</v>
      </c>
      <c r="J156" s="206">
        <v>13</v>
      </c>
      <c r="K156" s="207">
        <v>18</v>
      </c>
      <c r="M156"/>
    </row>
    <row r="157" spans="1:13" ht="24.9" customHeight="1" x14ac:dyDescent="0.35">
      <c r="A157" s="205">
        <v>46</v>
      </c>
      <c r="B157" s="348" t="s">
        <v>378</v>
      </c>
      <c r="C157" s="349"/>
      <c r="D157" s="350"/>
      <c r="E157" s="198">
        <v>3513.56</v>
      </c>
      <c r="F157" s="198">
        <v>0</v>
      </c>
      <c r="G157" s="198">
        <v>0</v>
      </c>
      <c r="H157" s="198">
        <v>0</v>
      </c>
      <c r="I157" s="198">
        <v>17468.75</v>
      </c>
      <c r="J157" s="206">
        <v>14</v>
      </c>
      <c r="K157" s="207">
        <v>18</v>
      </c>
      <c r="M157"/>
    </row>
    <row r="158" spans="1:13" ht="24.9" customHeight="1" x14ac:dyDescent="0.35">
      <c r="A158" s="205">
        <v>47</v>
      </c>
      <c r="B158" s="348" t="s">
        <v>379</v>
      </c>
      <c r="C158" s="349"/>
      <c r="D158" s="350"/>
      <c r="E158" s="198">
        <v>7371.09</v>
      </c>
      <c r="F158" s="198">
        <v>0</v>
      </c>
      <c r="G158" s="198">
        <v>0</v>
      </c>
      <c r="H158" s="198">
        <v>0</v>
      </c>
      <c r="I158" s="198">
        <v>30000</v>
      </c>
      <c r="J158" s="206">
        <v>16</v>
      </c>
      <c r="K158" s="207">
        <v>18</v>
      </c>
      <c r="M158"/>
    </row>
    <row r="159" spans="1:13" ht="24.9" customHeight="1" x14ac:dyDescent="0.35">
      <c r="A159" s="205">
        <v>48</v>
      </c>
      <c r="B159" s="348" t="s">
        <v>380</v>
      </c>
      <c r="C159" s="349"/>
      <c r="D159" s="350"/>
      <c r="E159" s="198">
        <v>5796.61</v>
      </c>
      <c r="F159" s="198">
        <v>0</v>
      </c>
      <c r="G159" s="198">
        <v>0</v>
      </c>
      <c r="H159" s="198">
        <v>0</v>
      </c>
      <c r="I159" s="198">
        <v>69164.06</v>
      </c>
      <c r="J159" s="206">
        <v>18</v>
      </c>
      <c r="K159" s="207">
        <v>18</v>
      </c>
      <c r="M159"/>
    </row>
    <row r="160" spans="1:13" ht="24.9" customHeight="1" x14ac:dyDescent="0.35">
      <c r="A160" s="205">
        <v>49</v>
      </c>
      <c r="B160" s="348" t="s">
        <v>381</v>
      </c>
      <c r="C160" s="349"/>
      <c r="D160" s="350"/>
      <c r="E160" s="198">
        <v>6771.19</v>
      </c>
      <c r="F160" s="198">
        <v>0</v>
      </c>
      <c r="G160" s="198">
        <v>0</v>
      </c>
      <c r="H160" s="198">
        <v>0</v>
      </c>
      <c r="I160" s="198">
        <v>2273.44</v>
      </c>
      <c r="J160" s="206">
        <v>19</v>
      </c>
      <c r="K160" s="207">
        <v>18</v>
      </c>
      <c r="M160"/>
    </row>
    <row r="161" spans="1:13" ht="24.9" customHeight="1" x14ac:dyDescent="0.35">
      <c r="A161" s="205">
        <v>50</v>
      </c>
      <c r="B161" s="348" t="s">
        <v>382</v>
      </c>
      <c r="C161" s="349"/>
      <c r="D161" s="350"/>
      <c r="E161" s="198">
        <v>254.1</v>
      </c>
      <c r="F161" s="198">
        <v>0</v>
      </c>
      <c r="G161" s="198">
        <v>0</v>
      </c>
      <c r="H161" s="198">
        <v>0</v>
      </c>
      <c r="I161" s="198">
        <v>2273.44</v>
      </c>
      <c r="J161" s="206">
        <v>20</v>
      </c>
      <c r="K161" s="207">
        <v>18</v>
      </c>
      <c r="M161"/>
    </row>
    <row r="162" spans="1:13" ht="24.9" customHeight="1" x14ac:dyDescent="0.35">
      <c r="A162" s="205">
        <v>51</v>
      </c>
      <c r="B162" s="348" t="s">
        <v>383</v>
      </c>
      <c r="C162" s="349"/>
      <c r="D162" s="350"/>
      <c r="E162" s="198">
        <v>478.91</v>
      </c>
      <c r="F162" s="198">
        <v>0</v>
      </c>
      <c r="G162" s="198">
        <v>0</v>
      </c>
      <c r="H162" s="198">
        <v>0</v>
      </c>
      <c r="I162" s="198">
        <v>1015.6</v>
      </c>
      <c r="J162" s="206">
        <v>21</v>
      </c>
      <c r="K162" s="207">
        <v>18</v>
      </c>
      <c r="M162"/>
    </row>
    <row r="163" spans="1:13" ht="24.9" customHeight="1" x14ac:dyDescent="0.35">
      <c r="A163" s="205">
        <v>52</v>
      </c>
      <c r="B163" s="348" t="s">
        <v>384</v>
      </c>
      <c r="C163" s="349"/>
      <c r="D163" s="350"/>
      <c r="E163" s="198">
        <v>111.02</v>
      </c>
      <c r="F163" s="198">
        <v>0</v>
      </c>
      <c r="G163" s="198">
        <v>0</v>
      </c>
      <c r="H163" s="198">
        <v>0</v>
      </c>
      <c r="I163" s="198">
        <v>50.85</v>
      </c>
      <c r="J163" s="206">
        <v>22</v>
      </c>
      <c r="K163" s="207">
        <v>18</v>
      </c>
      <c r="M163"/>
    </row>
    <row r="164" spans="1:13" ht="24.9" customHeight="1" x14ac:dyDescent="0.35">
      <c r="A164" s="205">
        <v>53</v>
      </c>
      <c r="B164" s="348" t="s">
        <v>385</v>
      </c>
      <c r="C164" s="349"/>
      <c r="D164" s="350"/>
      <c r="E164" s="198">
        <v>62.71</v>
      </c>
      <c r="F164" s="198">
        <v>0</v>
      </c>
      <c r="G164" s="198">
        <v>0</v>
      </c>
      <c r="H164" s="198">
        <v>0</v>
      </c>
      <c r="I164" s="198">
        <v>347.46</v>
      </c>
      <c r="J164" s="206">
        <v>23</v>
      </c>
      <c r="K164" s="207">
        <v>18</v>
      </c>
      <c r="M164"/>
    </row>
    <row r="165" spans="1:13" ht="24.9" customHeight="1" x14ac:dyDescent="0.35">
      <c r="A165" s="205">
        <v>54</v>
      </c>
      <c r="B165" s="348" t="s">
        <v>386</v>
      </c>
      <c r="C165" s="349"/>
      <c r="D165" s="350"/>
      <c r="E165" s="198">
        <v>3668.64</v>
      </c>
      <c r="F165" s="198">
        <v>0</v>
      </c>
      <c r="G165" s="198">
        <v>0</v>
      </c>
      <c r="H165" s="198">
        <v>0</v>
      </c>
      <c r="I165" s="198">
        <v>1820.31</v>
      </c>
      <c r="J165" s="206">
        <v>24</v>
      </c>
      <c r="K165" s="207">
        <v>18</v>
      </c>
      <c r="M165"/>
    </row>
    <row r="166" spans="1:13" ht="24.9" customHeight="1" x14ac:dyDescent="0.35">
      <c r="A166" s="205">
        <v>55</v>
      </c>
      <c r="B166" s="348" t="s">
        <v>387</v>
      </c>
      <c r="C166" s="349"/>
      <c r="D166" s="350"/>
      <c r="E166" s="198">
        <v>4445.76</v>
      </c>
      <c r="F166" s="198">
        <v>0</v>
      </c>
      <c r="G166" s="198">
        <v>0</v>
      </c>
      <c r="H166" s="198">
        <v>0</v>
      </c>
      <c r="I166" s="198">
        <v>32320.31</v>
      </c>
      <c r="J166" s="206">
        <v>25</v>
      </c>
      <c r="K166" s="207">
        <v>18</v>
      </c>
      <c r="M166"/>
    </row>
    <row r="167" spans="1:13" ht="24.9" customHeight="1" x14ac:dyDescent="0.35">
      <c r="A167" s="205">
        <v>56</v>
      </c>
      <c r="B167" s="348" t="s">
        <v>388</v>
      </c>
      <c r="C167" s="349"/>
      <c r="D167" s="350"/>
      <c r="E167" s="198">
        <v>4445.76</v>
      </c>
      <c r="F167" s="198">
        <v>0</v>
      </c>
      <c r="G167" s="198">
        <v>0</v>
      </c>
      <c r="H167" s="198">
        <v>0</v>
      </c>
      <c r="I167" s="198">
        <v>460.94</v>
      </c>
      <c r="J167" s="206">
        <v>26</v>
      </c>
      <c r="K167" s="207">
        <v>18</v>
      </c>
      <c r="M167"/>
    </row>
    <row r="168" spans="1:13" ht="24.9" customHeight="1" x14ac:dyDescent="0.35">
      <c r="A168" s="205">
        <v>57</v>
      </c>
      <c r="B168" s="348" t="s">
        <v>389</v>
      </c>
      <c r="C168" s="349"/>
      <c r="D168" s="350"/>
      <c r="E168" s="198">
        <v>95.76</v>
      </c>
      <c r="F168" s="198">
        <v>0</v>
      </c>
      <c r="G168" s="198">
        <v>0</v>
      </c>
      <c r="H168" s="198">
        <v>0</v>
      </c>
      <c r="I168" s="198">
        <v>30000</v>
      </c>
      <c r="J168" s="206">
        <v>27</v>
      </c>
      <c r="K168" s="207">
        <v>18</v>
      </c>
      <c r="M168"/>
    </row>
    <row r="169" spans="1:13" ht="24.9" customHeight="1" x14ac:dyDescent="0.35">
      <c r="A169" s="205">
        <v>58</v>
      </c>
      <c r="B169" s="348" t="s">
        <v>390</v>
      </c>
      <c r="C169" s="349"/>
      <c r="D169" s="350"/>
      <c r="E169" s="198">
        <v>53.39</v>
      </c>
      <c r="F169" s="198">
        <v>0</v>
      </c>
      <c r="G169" s="198">
        <v>0</v>
      </c>
      <c r="H169" s="198">
        <v>0</v>
      </c>
      <c r="I169" s="198">
        <v>9835.94</v>
      </c>
      <c r="J169" s="206">
        <v>28</v>
      </c>
      <c r="K169" s="207">
        <v>18</v>
      </c>
      <c r="M169"/>
    </row>
    <row r="170" spans="1:13" ht="24.9" customHeight="1" x14ac:dyDescent="0.35">
      <c r="A170" s="205">
        <v>59</v>
      </c>
      <c r="B170" s="348" t="s">
        <v>391</v>
      </c>
      <c r="C170" s="349"/>
      <c r="D170" s="350"/>
      <c r="E170" s="198">
        <v>2227.34</v>
      </c>
      <c r="F170" s="198">
        <v>0</v>
      </c>
      <c r="G170" s="198">
        <v>0</v>
      </c>
      <c r="H170" s="198">
        <v>0</v>
      </c>
      <c r="I170" s="198">
        <v>1960.94</v>
      </c>
      <c r="J170" s="206">
        <v>33</v>
      </c>
      <c r="K170" s="207">
        <v>18</v>
      </c>
      <c r="M170"/>
    </row>
    <row r="171" spans="1:13" ht="24.9" customHeight="1" x14ac:dyDescent="0.35">
      <c r="A171" s="205">
        <v>60</v>
      </c>
      <c r="B171" s="348" t="s">
        <v>257</v>
      </c>
      <c r="C171" s="349"/>
      <c r="D171" s="350"/>
      <c r="E171" s="198">
        <v>7864.06</v>
      </c>
      <c r="F171" s="198">
        <v>0</v>
      </c>
      <c r="G171" s="198">
        <v>0</v>
      </c>
      <c r="H171" s="198">
        <v>0</v>
      </c>
      <c r="I171" s="198">
        <v>0</v>
      </c>
      <c r="J171" s="206">
        <v>0</v>
      </c>
      <c r="K171" s="207">
        <v>18</v>
      </c>
      <c r="M171"/>
    </row>
    <row r="172" spans="1:13" ht="24.9" customHeight="1" x14ac:dyDescent="0.35">
      <c r="A172" s="205">
        <v>61</v>
      </c>
      <c r="B172" s="348" t="s">
        <v>258</v>
      </c>
      <c r="C172" s="349"/>
      <c r="D172" s="350"/>
      <c r="E172" s="198">
        <v>95.76</v>
      </c>
      <c r="F172" s="198">
        <v>0</v>
      </c>
      <c r="G172" s="198">
        <v>0</v>
      </c>
      <c r="H172" s="198">
        <v>0</v>
      </c>
      <c r="I172" s="198">
        <v>0</v>
      </c>
      <c r="J172" s="206">
        <v>0</v>
      </c>
      <c r="K172" s="207">
        <v>18</v>
      </c>
      <c r="M172"/>
    </row>
    <row r="173" spans="1:13" ht="24.9" customHeight="1" x14ac:dyDescent="0.35">
      <c r="A173" s="205">
        <v>62</v>
      </c>
      <c r="B173" s="348" t="s">
        <v>259</v>
      </c>
      <c r="C173" s="349"/>
      <c r="D173" s="350"/>
      <c r="E173" s="198">
        <v>53.39</v>
      </c>
      <c r="F173" s="198">
        <v>53.39</v>
      </c>
      <c r="G173" s="198">
        <v>0</v>
      </c>
      <c r="H173" s="198">
        <v>0</v>
      </c>
      <c r="I173" s="198">
        <v>0</v>
      </c>
      <c r="J173" s="206">
        <v>28</v>
      </c>
      <c r="K173" s="207">
        <v>18</v>
      </c>
      <c r="M173"/>
    </row>
    <row r="174" spans="1:13" ht="24.9" customHeight="1" x14ac:dyDescent="0.35">
      <c r="A174" s="205">
        <v>63</v>
      </c>
      <c r="B174" s="348" t="s">
        <v>260</v>
      </c>
      <c r="C174" s="349"/>
      <c r="D174" s="350"/>
      <c r="E174" s="198">
        <v>1543.75</v>
      </c>
      <c r="F174" s="198">
        <v>0</v>
      </c>
      <c r="G174" s="198">
        <v>1543.75</v>
      </c>
      <c r="H174" s="198">
        <v>0</v>
      </c>
      <c r="I174" s="198">
        <v>0</v>
      </c>
      <c r="J174" s="206">
        <v>4</v>
      </c>
      <c r="K174" s="207">
        <v>18</v>
      </c>
      <c r="M174"/>
    </row>
    <row r="175" spans="1:13" ht="24.9" customHeight="1" x14ac:dyDescent="0.35">
      <c r="A175" s="205">
        <v>64</v>
      </c>
      <c r="B175" s="348" t="s">
        <v>261</v>
      </c>
      <c r="C175" s="349"/>
      <c r="D175" s="350"/>
      <c r="E175" s="198">
        <v>532.80999999999995</v>
      </c>
      <c r="F175" s="198">
        <v>0</v>
      </c>
      <c r="G175" s="198">
        <v>0</v>
      </c>
      <c r="H175" s="198">
        <v>0</v>
      </c>
      <c r="I175" s="198">
        <v>0</v>
      </c>
      <c r="J175" s="206">
        <v>0</v>
      </c>
      <c r="K175" s="207">
        <v>18</v>
      </c>
      <c r="M175"/>
    </row>
    <row r="176" spans="1:13" ht="24.9" customHeight="1" x14ac:dyDescent="0.35">
      <c r="A176" s="205">
        <v>65</v>
      </c>
      <c r="B176" s="348" t="s">
        <v>262</v>
      </c>
      <c r="C176" s="349"/>
      <c r="D176" s="350"/>
      <c r="E176" s="198">
        <v>25.78</v>
      </c>
      <c r="F176" s="198">
        <v>0</v>
      </c>
      <c r="G176" s="198">
        <v>25.78</v>
      </c>
      <c r="H176" s="198">
        <v>0</v>
      </c>
      <c r="I176" s="198">
        <v>0</v>
      </c>
      <c r="J176" s="206">
        <v>31</v>
      </c>
      <c r="K176" s="207">
        <v>18</v>
      </c>
      <c r="M176"/>
    </row>
    <row r="177" spans="1:13" ht="24.9" customHeight="1" x14ac:dyDescent="0.35">
      <c r="A177" s="205">
        <v>66</v>
      </c>
      <c r="B177" s="348" t="s">
        <v>263</v>
      </c>
      <c r="C177" s="349"/>
      <c r="D177" s="350"/>
      <c r="E177" s="198">
        <v>68.75</v>
      </c>
      <c r="F177" s="198">
        <v>0</v>
      </c>
      <c r="G177" s="198">
        <v>68.75</v>
      </c>
      <c r="H177" s="198">
        <v>0</v>
      </c>
      <c r="I177" s="198">
        <v>0</v>
      </c>
      <c r="J177" s="206">
        <v>32</v>
      </c>
      <c r="K177" s="207">
        <v>18</v>
      </c>
      <c r="M177"/>
    </row>
    <row r="178" spans="1:13" ht="24.9" customHeight="1" x14ac:dyDescent="0.35">
      <c r="A178" s="205">
        <v>67</v>
      </c>
      <c r="B178" s="348" t="s">
        <v>264</v>
      </c>
      <c r="C178" s="349"/>
      <c r="D178" s="350"/>
      <c r="E178" s="198">
        <v>27.12</v>
      </c>
      <c r="F178" s="198">
        <v>27.12</v>
      </c>
      <c r="G178" s="198">
        <v>0</v>
      </c>
      <c r="H178" s="198">
        <v>0</v>
      </c>
      <c r="I178" s="198">
        <v>6.7799999999999976</v>
      </c>
      <c r="J178" s="206">
        <v>7</v>
      </c>
      <c r="K178" s="207">
        <v>18</v>
      </c>
      <c r="M178"/>
    </row>
    <row r="179" spans="1:13" ht="24.9" customHeight="1" x14ac:dyDescent="0.35">
      <c r="A179" s="205">
        <v>68</v>
      </c>
      <c r="B179" s="348" t="s">
        <v>265</v>
      </c>
      <c r="C179" s="349"/>
      <c r="D179" s="350"/>
      <c r="E179" s="198">
        <v>7200</v>
      </c>
      <c r="F179" s="198">
        <v>0</v>
      </c>
      <c r="G179" s="198">
        <v>5834.38</v>
      </c>
      <c r="H179" s="198">
        <v>0</v>
      </c>
      <c r="I179" s="198">
        <v>0</v>
      </c>
      <c r="J179" s="206">
        <v>36</v>
      </c>
      <c r="K179" s="207">
        <v>18</v>
      </c>
      <c r="M179"/>
    </row>
    <row r="180" spans="1:13" ht="24.9" customHeight="1" x14ac:dyDescent="0.35">
      <c r="A180" s="205">
        <v>69</v>
      </c>
      <c r="B180" s="348" t="s">
        <v>266</v>
      </c>
      <c r="C180" s="349"/>
      <c r="D180" s="350"/>
      <c r="E180" s="198">
        <v>338.28</v>
      </c>
      <c r="F180" s="198">
        <v>0</v>
      </c>
      <c r="G180" s="198">
        <v>0</v>
      </c>
      <c r="H180" s="198">
        <v>0</v>
      </c>
      <c r="I180" s="198">
        <v>0</v>
      </c>
      <c r="J180" s="206">
        <v>0</v>
      </c>
      <c r="K180" s="207">
        <v>18</v>
      </c>
      <c r="M180"/>
    </row>
    <row r="181" spans="1:13" ht="24.9" customHeight="1" x14ac:dyDescent="0.35">
      <c r="A181" s="205">
        <v>70</v>
      </c>
      <c r="B181" s="348" t="s">
        <v>267</v>
      </c>
      <c r="C181" s="349"/>
      <c r="D181" s="350"/>
      <c r="E181" s="198">
        <v>231.25</v>
      </c>
      <c r="F181" s="198">
        <v>0</v>
      </c>
      <c r="G181" s="198">
        <v>0</v>
      </c>
      <c r="H181" s="198">
        <v>0</v>
      </c>
      <c r="I181" s="198">
        <v>0</v>
      </c>
      <c r="J181" s="206">
        <v>0</v>
      </c>
      <c r="K181" s="207">
        <v>18</v>
      </c>
      <c r="M181"/>
    </row>
    <row r="182" spans="1:13" ht="24.9" customHeight="1" x14ac:dyDescent="0.35">
      <c r="A182" s="205">
        <v>71</v>
      </c>
      <c r="B182" s="348" t="s">
        <v>268</v>
      </c>
      <c r="C182" s="349"/>
      <c r="D182" s="350"/>
      <c r="E182" s="198">
        <v>206.25</v>
      </c>
      <c r="F182" s="198">
        <v>0</v>
      </c>
      <c r="G182" s="198">
        <v>206.25</v>
      </c>
      <c r="H182" s="198">
        <v>0</v>
      </c>
      <c r="I182" s="198">
        <v>0</v>
      </c>
      <c r="J182" s="206">
        <v>33</v>
      </c>
      <c r="K182" s="207">
        <v>18</v>
      </c>
      <c r="M182"/>
    </row>
    <row r="183" spans="1:13" ht="24.9" customHeight="1" x14ac:dyDescent="0.35">
      <c r="A183" s="205">
        <v>72</v>
      </c>
      <c r="B183" s="348" t="s">
        <v>269</v>
      </c>
      <c r="C183" s="349"/>
      <c r="D183" s="350"/>
      <c r="E183" s="198">
        <v>7744.92</v>
      </c>
      <c r="F183" s="198">
        <v>0</v>
      </c>
      <c r="G183" s="198">
        <v>0</v>
      </c>
      <c r="H183" s="198">
        <v>0</v>
      </c>
      <c r="I183" s="198">
        <v>0</v>
      </c>
      <c r="J183" s="206">
        <v>0</v>
      </c>
      <c r="K183" s="207">
        <v>18</v>
      </c>
      <c r="M183"/>
    </row>
    <row r="184" spans="1:13" ht="24.9" customHeight="1" x14ac:dyDescent="0.35">
      <c r="A184" s="205">
        <v>73</v>
      </c>
      <c r="B184" s="348" t="s">
        <v>270</v>
      </c>
      <c r="C184" s="349"/>
      <c r="D184" s="350"/>
      <c r="E184" s="198">
        <v>21525</v>
      </c>
      <c r="F184" s="198">
        <v>0</v>
      </c>
      <c r="G184" s="198">
        <v>18241.53</v>
      </c>
      <c r="H184" s="198">
        <v>0</v>
      </c>
      <c r="I184" s="198">
        <v>0</v>
      </c>
      <c r="J184" s="206">
        <v>8</v>
      </c>
      <c r="K184" s="207">
        <v>18</v>
      </c>
      <c r="M184"/>
    </row>
    <row r="185" spans="1:13" ht="24.9" customHeight="1" x14ac:dyDescent="0.35">
      <c r="A185" s="205">
        <v>74</v>
      </c>
      <c r="B185" s="348" t="s">
        <v>271</v>
      </c>
      <c r="C185" s="349"/>
      <c r="D185" s="350"/>
      <c r="E185" s="198">
        <v>44.07</v>
      </c>
      <c r="F185" s="198">
        <v>0</v>
      </c>
      <c r="G185" s="198">
        <v>44.07</v>
      </c>
      <c r="H185" s="198">
        <v>0</v>
      </c>
      <c r="I185" s="198">
        <v>0</v>
      </c>
      <c r="J185" s="206">
        <v>9</v>
      </c>
      <c r="K185" s="207">
        <v>18</v>
      </c>
      <c r="M185"/>
    </row>
    <row r="186" spans="1:13" ht="24.9" customHeight="1" x14ac:dyDescent="0.35">
      <c r="A186" s="205">
        <v>75</v>
      </c>
      <c r="B186" s="348" t="s">
        <v>272</v>
      </c>
      <c r="C186" s="349"/>
      <c r="D186" s="350"/>
      <c r="E186" s="198">
        <v>9317.9699999999993</v>
      </c>
      <c r="F186" s="198">
        <v>9317.9699999999993</v>
      </c>
      <c r="G186" s="198">
        <v>0</v>
      </c>
      <c r="H186" s="198">
        <v>0</v>
      </c>
      <c r="I186" s="198">
        <v>0</v>
      </c>
      <c r="J186" s="206">
        <v>10</v>
      </c>
      <c r="K186" s="207">
        <v>18</v>
      </c>
      <c r="M186"/>
    </row>
    <row r="187" spans="1:13" ht="24.9" customHeight="1" x14ac:dyDescent="0.35">
      <c r="A187" s="205">
        <v>76</v>
      </c>
      <c r="B187" s="348" t="s">
        <v>273</v>
      </c>
      <c r="C187" s="349"/>
      <c r="D187" s="350"/>
      <c r="E187" s="198">
        <v>172.88</v>
      </c>
      <c r="F187" s="198">
        <v>0</v>
      </c>
      <c r="G187" s="198">
        <v>0</v>
      </c>
      <c r="H187" s="198">
        <v>0</v>
      </c>
      <c r="I187" s="198">
        <v>0</v>
      </c>
      <c r="J187" s="206">
        <v>0</v>
      </c>
      <c r="K187" s="207">
        <v>18</v>
      </c>
      <c r="M187"/>
    </row>
    <row r="188" spans="1:13" ht="24.9" customHeight="1" x14ac:dyDescent="0.35">
      <c r="A188" s="205">
        <v>77</v>
      </c>
      <c r="B188" s="348" t="s">
        <v>274</v>
      </c>
      <c r="C188" s="349"/>
      <c r="D188" s="350"/>
      <c r="E188" s="198">
        <v>11710.94</v>
      </c>
      <c r="F188" s="198">
        <v>0</v>
      </c>
      <c r="G188" s="198">
        <v>0</v>
      </c>
      <c r="H188" s="198">
        <v>0</v>
      </c>
      <c r="I188" s="198">
        <v>0</v>
      </c>
      <c r="J188" s="206">
        <v>0</v>
      </c>
      <c r="K188" s="207">
        <v>18</v>
      </c>
      <c r="M188"/>
    </row>
    <row r="189" spans="1:13" ht="24.9" customHeight="1" x14ac:dyDescent="0.35">
      <c r="A189" s="205"/>
      <c r="B189" s="348" t="s">
        <v>275</v>
      </c>
      <c r="C189" s="349"/>
      <c r="D189" s="350"/>
      <c r="E189" s="198"/>
      <c r="F189" s="198">
        <v>0</v>
      </c>
      <c r="G189" s="198">
        <v>0</v>
      </c>
      <c r="H189" s="198">
        <v>0</v>
      </c>
      <c r="I189" s="198">
        <v>532.80999999999995</v>
      </c>
      <c r="J189" s="206">
        <v>24</v>
      </c>
      <c r="K189" s="207">
        <v>18</v>
      </c>
      <c r="M189"/>
    </row>
    <row r="190" spans="1:13" ht="24.9" customHeight="1" x14ac:dyDescent="0.35">
      <c r="A190" s="205"/>
      <c r="B190" s="348" t="s">
        <v>276</v>
      </c>
      <c r="C190" s="349"/>
      <c r="D190" s="350"/>
      <c r="E190" s="198"/>
      <c r="F190" s="198">
        <v>0</v>
      </c>
      <c r="G190" s="198">
        <v>0</v>
      </c>
      <c r="H190" s="198">
        <v>0</v>
      </c>
      <c r="I190" s="198">
        <v>95.76</v>
      </c>
      <c r="J190" s="206">
        <v>26</v>
      </c>
      <c r="K190" s="207">
        <v>18</v>
      </c>
      <c r="M190"/>
    </row>
    <row r="191" spans="1:13" ht="24.9" customHeight="1" x14ac:dyDescent="0.35">
      <c r="A191" s="205"/>
      <c r="B191" s="348" t="s">
        <v>277</v>
      </c>
      <c r="C191" s="349"/>
      <c r="D191" s="350"/>
      <c r="E191" s="198"/>
      <c r="F191" s="198">
        <v>0</v>
      </c>
      <c r="G191" s="198">
        <v>0</v>
      </c>
      <c r="H191" s="198">
        <v>0</v>
      </c>
      <c r="I191" s="198">
        <v>195.3</v>
      </c>
      <c r="J191" s="206">
        <v>37</v>
      </c>
      <c r="K191" s="207">
        <v>18</v>
      </c>
      <c r="M191"/>
    </row>
    <row r="192" spans="1:13" ht="24.9" customHeight="1" x14ac:dyDescent="0.35">
      <c r="A192" s="205"/>
      <c r="B192" s="348" t="s">
        <v>278</v>
      </c>
      <c r="C192" s="349"/>
      <c r="D192" s="350"/>
      <c r="E192" s="198"/>
      <c r="F192" s="198">
        <v>0</v>
      </c>
      <c r="G192" s="198">
        <v>0</v>
      </c>
      <c r="H192" s="198">
        <v>0</v>
      </c>
      <c r="I192" s="198">
        <v>161</v>
      </c>
      <c r="J192" s="206">
        <v>38</v>
      </c>
      <c r="K192" s="207">
        <v>18</v>
      </c>
      <c r="M192"/>
    </row>
    <row r="193" spans="1:13" ht="24.9" customHeight="1" x14ac:dyDescent="0.35">
      <c r="A193" s="205"/>
      <c r="B193" s="338"/>
      <c r="C193" s="336"/>
      <c r="D193" s="337"/>
      <c r="E193" s="198"/>
      <c r="F193" s="198"/>
      <c r="G193" s="198"/>
      <c r="H193" s="198"/>
      <c r="I193" s="198"/>
      <c r="J193" s="206"/>
      <c r="K193" s="207"/>
      <c r="M193"/>
    </row>
    <row r="194" spans="1:13" ht="24.9" customHeight="1" x14ac:dyDescent="0.35">
      <c r="A194" s="205"/>
      <c r="B194" s="338"/>
      <c r="C194" s="336"/>
      <c r="D194" s="337"/>
      <c r="E194" s="198"/>
      <c r="F194" s="198"/>
      <c r="G194" s="198"/>
      <c r="H194" s="198"/>
      <c r="I194" s="198"/>
      <c r="J194" s="206"/>
      <c r="K194" s="207"/>
      <c r="M194"/>
    </row>
    <row r="195" spans="1:13" ht="24.9" customHeight="1" x14ac:dyDescent="0.35">
      <c r="A195" s="205"/>
      <c r="B195" s="338"/>
      <c r="C195" s="336"/>
      <c r="D195" s="337"/>
      <c r="E195" s="198"/>
      <c r="F195" s="198"/>
      <c r="G195" s="198"/>
      <c r="H195" s="198"/>
      <c r="I195" s="198"/>
      <c r="J195" s="206"/>
      <c r="K195" s="207"/>
      <c r="M195"/>
    </row>
    <row r="196" spans="1:13" ht="24.9" customHeight="1" x14ac:dyDescent="0.35">
      <c r="A196" s="205"/>
      <c r="B196" s="338"/>
      <c r="C196" s="336"/>
      <c r="D196" s="337"/>
      <c r="E196" s="198"/>
      <c r="F196" s="198"/>
      <c r="G196" s="198"/>
      <c r="H196" s="198"/>
      <c r="I196" s="198"/>
      <c r="J196" s="206"/>
      <c r="K196" s="207"/>
      <c r="M196"/>
    </row>
    <row r="197" spans="1:13" ht="24.9" customHeight="1" x14ac:dyDescent="0.35">
      <c r="A197" s="205"/>
      <c r="B197" s="338"/>
      <c r="C197" s="336"/>
      <c r="D197" s="337"/>
      <c r="E197" s="198"/>
      <c r="F197" s="198"/>
      <c r="G197" s="198"/>
      <c r="H197" s="198"/>
      <c r="I197" s="198"/>
      <c r="J197" s="206"/>
      <c r="K197" s="207"/>
      <c r="M197"/>
    </row>
    <row r="198" spans="1:13" ht="24.9" customHeight="1" x14ac:dyDescent="0.35">
      <c r="A198" s="205"/>
      <c r="B198" s="338"/>
      <c r="C198" s="336"/>
      <c r="D198" s="337"/>
      <c r="E198" s="198"/>
      <c r="F198" s="198"/>
      <c r="G198" s="198"/>
      <c r="H198" s="198"/>
      <c r="I198" s="198"/>
      <c r="J198" s="206"/>
      <c r="K198" s="207"/>
      <c r="M198"/>
    </row>
    <row r="199" spans="1:13" ht="24.9" customHeight="1" x14ac:dyDescent="0.35">
      <c r="A199" s="205"/>
      <c r="B199" s="338"/>
      <c r="C199" s="336"/>
      <c r="D199" s="337"/>
      <c r="E199" s="198"/>
      <c r="F199" s="198"/>
      <c r="G199" s="198"/>
      <c r="H199" s="198"/>
      <c r="I199" s="198"/>
      <c r="J199" s="206"/>
      <c r="K199" s="207"/>
      <c r="M199"/>
    </row>
    <row r="200" spans="1:13" ht="24.9" customHeight="1" x14ac:dyDescent="0.35">
      <c r="A200" s="205"/>
      <c r="B200" s="338"/>
      <c r="C200" s="336"/>
      <c r="D200" s="337"/>
      <c r="E200" s="198"/>
      <c r="F200" s="198"/>
      <c r="G200" s="198"/>
      <c r="H200" s="198"/>
      <c r="I200" s="198"/>
      <c r="J200" s="206"/>
      <c r="K200" s="207"/>
      <c r="M200"/>
    </row>
    <row r="201" spans="1:13" ht="24.9" customHeight="1" x14ac:dyDescent="0.35">
      <c r="A201" s="205"/>
      <c r="B201" s="338"/>
      <c r="C201" s="336"/>
      <c r="D201" s="337"/>
      <c r="E201" s="198"/>
      <c r="F201" s="198"/>
      <c r="G201" s="198"/>
      <c r="H201" s="198"/>
      <c r="I201" s="198"/>
      <c r="J201" s="206"/>
      <c r="K201" s="207"/>
      <c r="M201"/>
    </row>
    <row r="202" spans="1:13" ht="24.9" customHeight="1" x14ac:dyDescent="0.35">
      <c r="A202" s="205"/>
      <c r="B202" s="338"/>
      <c r="C202" s="336"/>
      <c r="D202" s="337"/>
      <c r="E202" s="198"/>
      <c r="F202" s="198"/>
      <c r="G202" s="198"/>
      <c r="H202" s="198"/>
      <c r="I202" s="198"/>
      <c r="J202" s="206"/>
      <c r="K202" s="207"/>
      <c r="M202"/>
    </row>
    <row r="203" spans="1:13" ht="24.9" customHeight="1" x14ac:dyDescent="0.35">
      <c r="A203" s="205"/>
      <c r="B203" s="338"/>
      <c r="C203" s="336"/>
      <c r="D203" s="337"/>
      <c r="E203" s="198"/>
      <c r="F203" s="198"/>
      <c r="G203" s="198"/>
      <c r="H203" s="198"/>
      <c r="I203" s="198"/>
      <c r="J203" s="206"/>
      <c r="K203" s="207"/>
      <c r="M203"/>
    </row>
    <row r="204" spans="1:13" ht="24.9" customHeight="1" x14ac:dyDescent="0.35">
      <c r="A204" s="205"/>
      <c r="B204" s="338"/>
      <c r="C204" s="336"/>
      <c r="D204" s="337"/>
      <c r="E204" s="198"/>
      <c r="F204" s="198"/>
      <c r="G204" s="198"/>
      <c r="H204" s="198"/>
      <c r="I204" s="198"/>
      <c r="J204" s="206"/>
      <c r="K204" s="207"/>
      <c r="M204"/>
    </row>
    <row r="205" spans="1:13" ht="24.9" customHeight="1" x14ac:dyDescent="0.35">
      <c r="A205" s="205"/>
      <c r="B205" s="338"/>
      <c r="C205" s="336"/>
      <c r="D205" s="337"/>
      <c r="E205" s="198"/>
      <c r="F205" s="198"/>
      <c r="G205" s="198"/>
      <c r="H205" s="198"/>
      <c r="I205" s="198"/>
      <c r="J205" s="206"/>
      <c r="K205" s="207"/>
      <c r="M205"/>
    </row>
    <row r="206" spans="1:13" ht="24.9" customHeight="1" x14ac:dyDescent="0.35">
      <c r="A206" s="205"/>
      <c r="B206" s="338"/>
      <c r="C206" s="336"/>
      <c r="D206" s="337"/>
      <c r="E206" s="198"/>
      <c r="F206" s="198"/>
      <c r="G206" s="198"/>
      <c r="H206" s="198"/>
      <c r="I206" s="198"/>
      <c r="J206" s="206"/>
      <c r="K206" s="207"/>
      <c r="M206"/>
    </row>
    <row r="207" spans="1:13" ht="24.9" customHeight="1" x14ac:dyDescent="0.35">
      <c r="A207" s="205"/>
      <c r="B207" s="338"/>
      <c r="C207" s="336"/>
      <c r="D207" s="337"/>
      <c r="E207" s="198"/>
      <c r="F207" s="198"/>
      <c r="G207" s="198"/>
      <c r="H207" s="198"/>
      <c r="I207" s="198"/>
      <c r="J207" s="206"/>
      <c r="K207" s="207"/>
      <c r="M207"/>
    </row>
    <row r="208" spans="1:13" ht="24.9" customHeight="1" x14ac:dyDescent="0.35">
      <c r="A208" s="205"/>
      <c r="B208" s="338"/>
      <c r="C208" s="336"/>
      <c r="D208" s="337"/>
      <c r="E208" s="198"/>
      <c r="F208" s="198"/>
      <c r="G208" s="198"/>
      <c r="H208" s="198"/>
      <c r="I208" s="198"/>
      <c r="J208" s="206"/>
      <c r="K208" s="207"/>
      <c r="M208"/>
    </row>
    <row r="209" spans="1:13" ht="24.9" customHeight="1" x14ac:dyDescent="0.35">
      <c r="A209" s="205"/>
      <c r="B209" s="338"/>
      <c r="C209" s="336"/>
      <c r="D209" s="337"/>
      <c r="E209" s="198"/>
      <c r="F209" s="198"/>
      <c r="G209" s="198"/>
      <c r="H209" s="198"/>
      <c r="I209" s="198"/>
      <c r="J209" s="206"/>
      <c r="K209" s="207"/>
      <c r="M209"/>
    </row>
    <row r="210" spans="1:13" ht="24.9" customHeight="1" x14ac:dyDescent="0.35">
      <c r="A210" s="205"/>
      <c r="B210" s="338"/>
      <c r="C210" s="336"/>
      <c r="D210" s="337"/>
      <c r="E210" s="198"/>
      <c r="F210" s="198"/>
      <c r="G210" s="198"/>
      <c r="H210" s="198"/>
      <c r="I210" s="198"/>
      <c r="J210" s="206"/>
      <c r="K210" s="207"/>
      <c r="M210"/>
    </row>
    <row r="211" spans="1:13" ht="24.9" customHeight="1" x14ac:dyDescent="0.35">
      <c r="A211" s="205"/>
      <c r="B211" s="338"/>
      <c r="C211" s="336"/>
      <c r="D211" s="337"/>
      <c r="E211" s="198"/>
      <c r="F211" s="198"/>
      <c r="G211" s="198"/>
      <c r="H211" s="198"/>
      <c r="I211" s="198"/>
      <c r="J211" s="206"/>
      <c r="K211" s="207"/>
      <c r="M211"/>
    </row>
    <row r="212" spans="1:13" ht="24.9" customHeight="1" x14ac:dyDescent="0.35">
      <c r="A212" s="205"/>
      <c r="B212" s="338"/>
      <c r="C212" s="336"/>
      <c r="D212" s="337"/>
      <c r="E212" s="198"/>
      <c r="F212" s="198"/>
      <c r="G212" s="198"/>
      <c r="H212" s="198"/>
      <c r="I212" s="198"/>
      <c r="J212" s="206"/>
      <c r="K212" s="207"/>
      <c r="M212"/>
    </row>
    <row r="213" spans="1:13" ht="24.9" customHeight="1" x14ac:dyDescent="0.35">
      <c r="A213" s="205"/>
      <c r="B213" s="338"/>
      <c r="C213" s="336"/>
      <c r="D213" s="337"/>
      <c r="E213" s="198"/>
      <c r="F213" s="198"/>
      <c r="G213" s="198"/>
      <c r="H213" s="198"/>
      <c r="I213" s="198"/>
      <c r="J213" s="206"/>
      <c r="K213" s="207"/>
      <c r="M213"/>
    </row>
    <row r="214" spans="1:13" ht="24.9" customHeight="1" x14ac:dyDescent="0.35">
      <c r="A214" s="205"/>
      <c r="B214" s="338"/>
      <c r="C214" s="336"/>
      <c r="D214" s="337"/>
      <c r="E214" s="198"/>
      <c r="F214" s="198"/>
      <c r="G214" s="198"/>
      <c r="H214" s="198"/>
      <c r="I214" s="198"/>
      <c r="J214" s="206"/>
      <c r="K214" s="207"/>
      <c r="M214"/>
    </row>
    <row r="215" spans="1:13" ht="24.9" customHeight="1" x14ac:dyDescent="0.35">
      <c r="A215" s="205"/>
      <c r="B215" s="338"/>
      <c r="C215" s="336"/>
      <c r="D215" s="337"/>
      <c r="E215" s="198"/>
      <c r="F215" s="198"/>
      <c r="G215" s="198"/>
      <c r="H215" s="198"/>
      <c r="I215" s="198"/>
      <c r="J215" s="206"/>
      <c r="K215" s="207"/>
      <c r="M215"/>
    </row>
    <row r="216" spans="1:13" ht="24.9" customHeight="1" x14ac:dyDescent="0.35">
      <c r="A216" s="205"/>
      <c r="B216" s="338"/>
      <c r="C216" s="336"/>
      <c r="D216" s="337"/>
      <c r="E216" s="198"/>
      <c r="F216" s="198"/>
      <c r="G216" s="198"/>
      <c r="H216" s="198"/>
      <c r="I216" s="198"/>
      <c r="J216" s="206"/>
      <c r="K216" s="207"/>
      <c r="M216"/>
    </row>
    <row r="217" spans="1:13" ht="24.9" customHeight="1" x14ac:dyDescent="0.35">
      <c r="A217" s="205"/>
      <c r="B217" s="338"/>
      <c r="C217" s="336"/>
      <c r="D217" s="337"/>
      <c r="E217" s="198"/>
      <c r="F217" s="198"/>
      <c r="G217" s="198"/>
      <c r="H217" s="198"/>
      <c r="I217" s="198"/>
      <c r="J217" s="206"/>
      <c r="K217" s="207"/>
      <c r="M217"/>
    </row>
    <row r="218" spans="1:13" ht="24.9" customHeight="1" x14ac:dyDescent="0.35">
      <c r="A218" s="205"/>
      <c r="B218" s="338"/>
      <c r="C218" s="336"/>
      <c r="D218" s="337"/>
      <c r="E218" s="198"/>
      <c r="F218" s="198"/>
      <c r="G218" s="198"/>
      <c r="H218" s="198"/>
      <c r="I218" s="198"/>
      <c r="J218" s="206"/>
      <c r="K218" s="207"/>
      <c r="M218"/>
    </row>
    <row r="219" spans="1:13" ht="24.9" customHeight="1" x14ac:dyDescent="0.35">
      <c r="A219" s="205"/>
      <c r="B219" s="338"/>
      <c r="C219" s="336"/>
      <c r="D219" s="337"/>
      <c r="E219" s="198"/>
      <c r="F219" s="198"/>
      <c r="G219" s="198"/>
      <c r="H219" s="198"/>
      <c r="I219" s="198"/>
      <c r="J219" s="206"/>
      <c r="K219" s="207"/>
      <c r="M219"/>
    </row>
    <row r="220" spans="1:13" ht="24.9" customHeight="1" x14ac:dyDescent="0.3">
      <c r="A220" s="419" t="s">
        <v>104</v>
      </c>
      <c r="B220" s="357"/>
      <c r="C220" s="357"/>
      <c r="D220" s="358"/>
      <c r="E220" s="199">
        <f>SUM(E112:E192)</f>
        <v>852213.2000000003</v>
      </c>
      <c r="F220" s="201">
        <f>SUM(F112:F192)</f>
        <v>9398.48</v>
      </c>
      <c r="G220" s="201">
        <f>SUM(G112:G192)</f>
        <v>25964.51</v>
      </c>
      <c r="H220" s="201">
        <v>48465454</v>
      </c>
      <c r="I220" s="201">
        <f>SUM(I112:I192)</f>
        <v>456631.76</v>
      </c>
      <c r="J220" s="212"/>
      <c r="K220" s="213"/>
      <c r="M220"/>
    </row>
    <row r="221" spans="1:13" ht="24.9" customHeight="1" x14ac:dyDescent="0.25">
      <c r="A221" s="214">
        <v>18</v>
      </c>
      <c r="B221" s="215" t="s">
        <v>105</v>
      </c>
      <c r="C221" s="215"/>
      <c r="D221" s="216"/>
      <c r="E221" s="217">
        <f t="array" ref="E221">SUMPRODUCT(E112:E192,K112:K192/100)</f>
        <v>153398.37600000011</v>
      </c>
      <c r="F221" s="218">
        <f t="array" ref="F221">SUMPRODUCT(F112:F192,K112:K192/100)</f>
        <v>1691.7263999999998</v>
      </c>
      <c r="G221" s="218">
        <f t="array" ref="G221">SUMPRODUCT(G112:G192,K112:K192/100)</f>
        <v>4673.6117999999997</v>
      </c>
      <c r="H221" s="219">
        <f t="array" ref="H221">SUMPRODUCT(H112:H192,K112:K192/100)</f>
        <v>0</v>
      </c>
      <c r="I221" s="218">
        <f t="array" ref="I221">SUMPRODUCT(I112:I192,K112:K192/100)</f>
        <v>82193.716800000024</v>
      </c>
      <c r="J221" s="220"/>
      <c r="K221" s="221"/>
      <c r="M221"/>
    </row>
    <row r="222" spans="1:13" ht="24.9" customHeight="1" x14ac:dyDescent="0.25">
      <c r="A222" s="222" t="s">
        <v>104</v>
      </c>
      <c r="B222" s="223"/>
      <c r="C222" s="223"/>
      <c r="D222" s="224"/>
      <c r="E222" s="199">
        <f>SUM(E220:E221)</f>
        <v>1005611.5760000004</v>
      </c>
      <c r="F222" s="201">
        <f>SUM(F220:F221)</f>
        <v>11090.206399999999</v>
      </c>
      <c r="G222" s="201">
        <f>SUM(G220:G221)</f>
        <v>30638.121799999997</v>
      </c>
      <c r="H222" s="201">
        <f>SUM(H220:H221)</f>
        <v>48465454</v>
      </c>
      <c r="I222" s="201">
        <f>SUM(I220:I221)</f>
        <v>538825.47680000006</v>
      </c>
      <c r="J222" s="212"/>
      <c r="K222" s="213"/>
      <c r="M222"/>
    </row>
    <row r="223" spans="1:13" ht="24.9" customHeight="1" x14ac:dyDescent="0.25">
      <c r="A223" s="225" t="s">
        <v>106</v>
      </c>
      <c r="B223" s="226"/>
      <c r="C223" s="226"/>
      <c r="D223" s="227"/>
      <c r="E223" s="217"/>
      <c r="F223" s="218"/>
      <c r="G223" s="218"/>
      <c r="H223" s="218"/>
      <c r="I223" s="218"/>
      <c r="J223" s="221"/>
      <c r="K223" s="221"/>
      <c r="M223"/>
    </row>
    <row r="224" spans="1:13" ht="24.9" customHeight="1" x14ac:dyDescent="0.25">
      <c r="A224" s="228">
        <f>J106</f>
        <v>25</v>
      </c>
      <c r="B224" s="329" t="s">
        <v>107</v>
      </c>
      <c r="C224" s="229">
        <f>IF(A224=0,0,50)</f>
        <v>50</v>
      </c>
      <c r="D224" s="230" t="s">
        <v>108</v>
      </c>
      <c r="E224" s="217"/>
      <c r="F224" s="218">
        <f>A224*F222/100</f>
        <v>2772.5515999999998</v>
      </c>
      <c r="G224" s="218">
        <f>IF(A224=0,0,G222/2)</f>
        <v>15319.060899999999</v>
      </c>
      <c r="H224" s="218">
        <v>0</v>
      </c>
      <c r="I224" s="218"/>
      <c r="J224" s="220"/>
      <c r="K224" s="221"/>
      <c r="M224"/>
    </row>
    <row r="225" spans="1:13" ht="24.9" customHeight="1" x14ac:dyDescent="0.25">
      <c r="A225" s="222" t="s">
        <v>109</v>
      </c>
      <c r="B225" s="223"/>
      <c r="C225" s="223"/>
      <c r="D225" s="224"/>
      <c r="E225" s="199">
        <f>E222</f>
        <v>1005611.5760000004</v>
      </c>
      <c r="F225" s="201">
        <f>F222-F224</f>
        <v>8317.6548000000003</v>
      </c>
      <c r="G225" s="201">
        <f>G222-G224</f>
        <v>15319.060899999999</v>
      </c>
      <c r="H225" s="201">
        <f>H222</f>
        <v>48465454</v>
      </c>
      <c r="I225" s="201">
        <f>I222-I224</f>
        <v>538825.47680000006</v>
      </c>
      <c r="J225" s="212"/>
      <c r="K225" s="213"/>
      <c r="M225"/>
    </row>
    <row r="226" spans="1:13" ht="24.9" customHeight="1" x14ac:dyDescent="0.3">
      <c r="A226" s="231" t="s">
        <v>110</v>
      </c>
      <c r="B226" s="232"/>
      <c r="C226" s="232"/>
      <c r="D226" s="233"/>
      <c r="E226" s="200">
        <f>E225</f>
        <v>1005611.5760000004</v>
      </c>
      <c r="F226" s="417">
        <f>F225+G225+H225</f>
        <v>48489090.715700001</v>
      </c>
      <c r="G226" s="355"/>
      <c r="H226" s="418"/>
      <c r="I226" s="234">
        <f>I225</f>
        <v>538825.47680000006</v>
      </c>
      <c r="J226" s="235"/>
      <c r="K226" s="235"/>
      <c r="M226"/>
    </row>
    <row r="227" spans="1:13" ht="24.9" customHeight="1" x14ac:dyDescent="0.25">
      <c r="A227" s="118"/>
      <c r="B227" s="115"/>
      <c r="C227" s="115"/>
      <c r="D227" s="115"/>
      <c r="E227" s="170"/>
      <c r="F227" s="170"/>
      <c r="G227" s="171"/>
      <c r="H227" s="171"/>
      <c r="I227" s="171"/>
      <c r="J227" s="115"/>
      <c r="K227" s="115"/>
      <c r="M227"/>
    </row>
    <row r="228" spans="1:13" ht="24.9" customHeight="1" x14ac:dyDescent="0.25">
      <c r="A228" s="169" t="s">
        <v>111</v>
      </c>
      <c r="B228" s="169"/>
      <c r="C228" s="169"/>
      <c r="D228" s="169"/>
      <c r="E228" s="172"/>
      <c r="F228" s="173">
        <f>F224+G224+I224</f>
        <v>18091.612499999999</v>
      </c>
      <c r="G228" s="172"/>
      <c r="H228" s="172"/>
      <c r="I228" s="172"/>
      <c r="J228" s="169"/>
      <c r="K228" s="169"/>
      <c r="M228"/>
    </row>
    <row r="229" spans="1:13" ht="24.9" customHeight="1" x14ac:dyDescent="0.25">
      <c r="A229" s="118"/>
      <c r="B229" s="115"/>
      <c r="C229" s="115"/>
      <c r="D229" s="115"/>
      <c r="E229" s="171"/>
      <c r="F229" s="174"/>
      <c r="G229" s="171"/>
      <c r="H229" s="171"/>
      <c r="I229" s="171"/>
      <c r="J229" s="115"/>
      <c r="K229" s="115"/>
      <c r="M229"/>
    </row>
    <row r="230" spans="1:13" ht="24.9" customHeight="1" x14ac:dyDescent="0.25">
      <c r="A230" s="175" t="s">
        <v>112</v>
      </c>
      <c r="B230" s="176"/>
      <c r="C230" s="176"/>
      <c r="D230" s="176"/>
      <c r="E230" s="176"/>
      <c r="F230" s="176"/>
      <c r="G230" s="176"/>
      <c r="H230" s="176"/>
      <c r="I230" s="176"/>
      <c r="J230" s="176">
        <f>SUMPRODUCT(ISNUMBER(MATCH($A$112:$A$192,$B$230:$I$230,0))*((($F$112:$F$192*(1-$A$224/100))+($G$112:$G$192*(1-$C$224/100))+$H$112:$H$192)))*50%</f>
        <v>0</v>
      </c>
      <c r="K230" s="330">
        <f>SUMPRODUCT(ISNUMBER(MATCH($A$112:$A$192,$B$230:$I$230,0))*($K$112:$K$192=18)*((($F$112:$F$192*(1-$A$224/100))+($G$112:$G$192*(1-$C$224/100))+$H$112:$H$192))*50%*18%)</f>
        <v>0</v>
      </c>
      <c r="M230"/>
    </row>
    <row r="231" spans="1:13" ht="24.9" customHeight="1" x14ac:dyDescent="0.25">
      <c r="A231" s="118"/>
      <c r="B231" s="118"/>
      <c r="C231" s="115"/>
      <c r="D231" s="115"/>
      <c r="E231" s="115"/>
      <c r="F231" s="115"/>
      <c r="G231" s="115"/>
      <c r="H231" s="118"/>
      <c r="I231" s="115"/>
      <c r="J231" s="115"/>
      <c r="K231" s="115"/>
      <c r="M231"/>
    </row>
    <row r="232" spans="1:13" ht="24.9" customHeight="1" x14ac:dyDescent="0.25">
      <c r="A232" s="196" t="s">
        <v>113</v>
      </c>
      <c r="B232" s="115"/>
      <c r="C232" s="115"/>
      <c r="D232" s="115"/>
      <c r="E232" s="115"/>
      <c r="F232" s="177"/>
      <c r="G232" s="115"/>
      <c r="H232" s="115"/>
      <c r="I232" s="115"/>
      <c r="J232" s="115"/>
      <c r="K232" s="115"/>
      <c r="M232"/>
    </row>
    <row r="233" spans="1:13" ht="24.9" customHeight="1" x14ac:dyDescent="0.25">
      <c r="A233" s="115"/>
      <c r="B233" s="115"/>
      <c r="C233" s="115"/>
      <c r="D233" s="115"/>
      <c r="E233" s="115"/>
      <c r="F233" s="177"/>
      <c r="G233" s="115"/>
      <c r="H233" s="115"/>
      <c r="I233" s="115"/>
      <c r="J233" s="115"/>
      <c r="K233" s="115"/>
      <c r="M233"/>
    </row>
    <row r="234" spans="1:13" ht="24.9" customHeight="1" x14ac:dyDescent="0.35">
      <c r="A234" s="359" t="s">
        <v>114</v>
      </c>
      <c r="B234" s="360"/>
      <c r="C234" s="360"/>
      <c r="D234" s="360"/>
      <c r="E234" s="360"/>
      <c r="F234" s="360"/>
      <c r="G234" s="360"/>
      <c r="H234" s="360"/>
      <c r="I234" s="361"/>
      <c r="J234" s="352"/>
      <c r="K234" s="353"/>
      <c r="M234"/>
    </row>
    <row r="235" spans="1:13" ht="24.9" customHeight="1" x14ac:dyDescent="0.25">
      <c r="A235" s="164" t="s">
        <v>95</v>
      </c>
      <c r="B235" s="382" t="s">
        <v>115</v>
      </c>
      <c r="C235" s="416"/>
      <c r="D235" s="416"/>
      <c r="E235" s="383"/>
      <c r="F235" s="164" t="s">
        <v>116</v>
      </c>
      <c r="G235" s="164" t="s">
        <v>117</v>
      </c>
      <c r="H235" s="164" t="s">
        <v>118</v>
      </c>
      <c r="I235" s="164" t="s">
        <v>119</v>
      </c>
      <c r="J235" s="164" t="s">
        <v>120</v>
      </c>
      <c r="K235" s="164" t="s">
        <v>103</v>
      </c>
      <c r="M235"/>
    </row>
    <row r="236" spans="1:13" ht="24.9" customHeight="1" x14ac:dyDescent="0.35">
      <c r="A236" s="202">
        <v>1</v>
      </c>
      <c r="B236" s="351" t="s">
        <v>279</v>
      </c>
      <c r="C236" s="349"/>
      <c r="D236" s="349"/>
      <c r="E236" s="350"/>
      <c r="F236" s="198"/>
      <c r="G236" s="198">
        <v>0</v>
      </c>
      <c r="H236" s="198">
        <v>3500</v>
      </c>
      <c r="I236" s="198">
        <v>0</v>
      </c>
      <c r="J236" s="321">
        <v>0</v>
      </c>
      <c r="K236" s="207">
        <v>18</v>
      </c>
      <c r="M236"/>
    </row>
    <row r="237" spans="1:13" ht="24.9" customHeight="1" x14ac:dyDescent="0.35">
      <c r="A237" s="239">
        <v>2</v>
      </c>
      <c r="B237" s="351" t="s">
        <v>280</v>
      </c>
      <c r="C237" s="349"/>
      <c r="D237" s="349"/>
      <c r="E237" s="350"/>
      <c r="F237" s="198"/>
      <c r="G237" s="198">
        <v>420</v>
      </c>
      <c r="H237" s="198">
        <v>0</v>
      </c>
      <c r="I237" s="198">
        <v>0</v>
      </c>
      <c r="J237" s="198">
        <v>0</v>
      </c>
      <c r="K237" s="207">
        <v>18</v>
      </c>
      <c r="M237"/>
    </row>
    <row r="238" spans="1:13" ht="24.9" customHeight="1" x14ac:dyDescent="0.35">
      <c r="A238" s="202">
        <v>3</v>
      </c>
      <c r="B238" s="351" t="s">
        <v>281</v>
      </c>
      <c r="C238" s="349"/>
      <c r="D238" s="349"/>
      <c r="E238" s="350"/>
      <c r="F238" s="198"/>
      <c r="G238" s="198">
        <v>665</v>
      </c>
      <c r="H238" s="198">
        <v>0</v>
      </c>
      <c r="I238" s="198">
        <v>0</v>
      </c>
      <c r="J238" s="198">
        <v>0</v>
      </c>
      <c r="K238" s="207">
        <v>18</v>
      </c>
      <c r="M238"/>
    </row>
    <row r="239" spans="1:13" ht="24.9" customHeight="1" x14ac:dyDescent="0.35">
      <c r="A239" s="202">
        <v>4</v>
      </c>
      <c r="B239" s="351" t="s">
        <v>282</v>
      </c>
      <c r="C239" s="349"/>
      <c r="D239" s="349"/>
      <c r="E239" s="350"/>
      <c r="F239" s="198"/>
      <c r="G239" s="198">
        <v>595</v>
      </c>
      <c r="H239" s="198">
        <v>0</v>
      </c>
      <c r="I239" s="198">
        <v>0</v>
      </c>
      <c r="J239" s="321">
        <v>0</v>
      </c>
      <c r="K239" s="207">
        <v>18</v>
      </c>
      <c r="M239"/>
    </row>
    <row r="240" spans="1:13" ht="24.9" customHeight="1" x14ac:dyDescent="0.35">
      <c r="A240" s="202">
        <v>5</v>
      </c>
      <c r="B240" s="351" t="s">
        <v>283</v>
      </c>
      <c r="C240" s="349"/>
      <c r="D240" s="349"/>
      <c r="E240" s="350"/>
      <c r="F240" s="198"/>
      <c r="G240" s="198">
        <v>140</v>
      </c>
      <c r="H240" s="198">
        <v>0</v>
      </c>
      <c r="I240" s="198">
        <v>0</v>
      </c>
      <c r="J240" s="321">
        <v>0</v>
      </c>
      <c r="K240" s="207">
        <v>18</v>
      </c>
      <c r="M240"/>
    </row>
    <row r="241" spans="1:13" ht="24.9" customHeight="1" x14ac:dyDescent="0.35">
      <c r="A241" s="202">
        <v>6</v>
      </c>
      <c r="B241" s="351" t="s">
        <v>284</v>
      </c>
      <c r="C241" s="349"/>
      <c r="D241" s="349"/>
      <c r="E241" s="350"/>
      <c r="F241" s="198"/>
      <c r="G241" s="198">
        <v>0</v>
      </c>
      <c r="H241" s="198">
        <v>0</v>
      </c>
      <c r="I241" s="198">
        <v>0</v>
      </c>
      <c r="J241" s="321">
        <v>30000</v>
      </c>
      <c r="K241" s="207">
        <v>18</v>
      </c>
      <c r="M241"/>
    </row>
    <row r="242" spans="1:13" ht="24.9" customHeight="1" x14ac:dyDescent="0.35">
      <c r="A242" s="202">
        <v>7</v>
      </c>
      <c r="B242" s="351" t="s">
        <v>285</v>
      </c>
      <c r="C242" s="349"/>
      <c r="D242" s="349"/>
      <c r="E242" s="350"/>
      <c r="F242" s="198"/>
      <c r="G242" s="198">
        <v>175</v>
      </c>
      <c r="H242" s="198">
        <v>0</v>
      </c>
      <c r="I242" s="198">
        <v>0</v>
      </c>
      <c r="J242" s="321">
        <v>0</v>
      </c>
      <c r="K242" s="207">
        <v>18</v>
      </c>
      <c r="M242"/>
    </row>
    <row r="243" spans="1:13" ht="24.9" customHeight="1" x14ac:dyDescent="0.35">
      <c r="A243" s="202">
        <v>8</v>
      </c>
      <c r="B243" s="351" t="s">
        <v>286</v>
      </c>
      <c r="C243" s="349"/>
      <c r="D243" s="349"/>
      <c r="E243" s="350"/>
      <c r="F243" s="198"/>
      <c r="G243" s="198">
        <v>140</v>
      </c>
      <c r="H243" s="198">
        <v>0</v>
      </c>
      <c r="I243" s="198">
        <v>0</v>
      </c>
      <c r="J243" s="321">
        <v>0</v>
      </c>
      <c r="K243" s="207">
        <v>18</v>
      </c>
      <c r="M243"/>
    </row>
    <row r="244" spans="1:13" ht="24.9" customHeight="1" x14ac:dyDescent="0.35">
      <c r="A244" s="202">
        <v>9</v>
      </c>
      <c r="B244" s="351" t="s">
        <v>287</v>
      </c>
      <c r="C244" s="349"/>
      <c r="D244" s="349"/>
      <c r="E244" s="350"/>
      <c r="F244" s="198"/>
      <c r="G244" s="198">
        <v>665</v>
      </c>
      <c r="H244" s="198">
        <v>0</v>
      </c>
      <c r="I244" s="198">
        <v>0</v>
      </c>
      <c r="J244" s="321">
        <v>0</v>
      </c>
      <c r="K244" s="207">
        <v>18</v>
      </c>
      <c r="M244"/>
    </row>
    <row r="245" spans="1:13" ht="24.9" customHeight="1" x14ac:dyDescent="0.35">
      <c r="A245" s="202">
        <v>10</v>
      </c>
      <c r="B245" s="351" t="s">
        <v>288</v>
      </c>
      <c r="C245" s="349"/>
      <c r="D245" s="349"/>
      <c r="E245" s="350"/>
      <c r="F245" s="198"/>
      <c r="G245" s="198">
        <v>805</v>
      </c>
      <c r="H245" s="198">
        <v>0</v>
      </c>
      <c r="I245" s="198">
        <v>0</v>
      </c>
      <c r="J245" s="321">
        <v>0</v>
      </c>
      <c r="K245" s="207">
        <v>18</v>
      </c>
      <c r="M245"/>
    </row>
    <row r="246" spans="1:13" ht="24.9" customHeight="1" x14ac:dyDescent="0.35">
      <c r="A246" s="202">
        <v>11</v>
      </c>
      <c r="B246" s="351" t="s">
        <v>289</v>
      </c>
      <c r="C246" s="349"/>
      <c r="D246" s="349"/>
      <c r="E246" s="350"/>
      <c r="F246" s="198"/>
      <c r="G246" s="198">
        <v>2135</v>
      </c>
      <c r="H246" s="198">
        <v>0</v>
      </c>
      <c r="I246" s="198">
        <v>0</v>
      </c>
      <c r="J246" s="321">
        <v>0</v>
      </c>
      <c r="K246" s="207">
        <v>18</v>
      </c>
      <c r="M246"/>
    </row>
    <row r="247" spans="1:13" ht="24.9" customHeight="1" x14ac:dyDescent="0.35">
      <c r="A247" s="202">
        <v>12</v>
      </c>
      <c r="B247" s="351" t="s">
        <v>290</v>
      </c>
      <c r="C247" s="349"/>
      <c r="D247" s="349"/>
      <c r="E247" s="350"/>
      <c r="F247" s="198"/>
      <c r="G247" s="198">
        <v>1190</v>
      </c>
      <c r="H247" s="198">
        <v>0</v>
      </c>
      <c r="I247" s="198">
        <v>0</v>
      </c>
      <c r="J247" s="321">
        <v>0</v>
      </c>
      <c r="K247" s="207">
        <v>18</v>
      </c>
      <c r="M247"/>
    </row>
    <row r="248" spans="1:13" ht="24.9" customHeight="1" x14ac:dyDescent="0.35">
      <c r="A248" s="202">
        <v>13</v>
      </c>
      <c r="B248" s="351" t="s">
        <v>291</v>
      </c>
      <c r="C248" s="349"/>
      <c r="D248" s="349"/>
      <c r="E248" s="350"/>
      <c r="F248" s="198"/>
      <c r="G248" s="198">
        <v>980</v>
      </c>
      <c r="H248" s="198">
        <v>0</v>
      </c>
      <c r="I248" s="198">
        <v>0</v>
      </c>
      <c r="J248" s="321">
        <v>0</v>
      </c>
      <c r="K248" s="207">
        <v>18</v>
      </c>
      <c r="M248"/>
    </row>
    <row r="249" spans="1:13" ht="24.9" customHeight="1" x14ac:dyDescent="0.35">
      <c r="A249" s="202">
        <v>14</v>
      </c>
      <c r="B249" s="351" t="s">
        <v>292</v>
      </c>
      <c r="C249" s="349"/>
      <c r="D249" s="349"/>
      <c r="E249" s="350"/>
      <c r="F249" s="198"/>
      <c r="G249" s="198">
        <v>700</v>
      </c>
      <c r="H249" s="198">
        <v>0</v>
      </c>
      <c r="I249" s="198">
        <v>0</v>
      </c>
      <c r="J249" s="321">
        <v>0</v>
      </c>
      <c r="K249" s="207">
        <v>18</v>
      </c>
      <c r="M249"/>
    </row>
    <row r="250" spans="1:13" ht="24.9" customHeight="1" x14ac:dyDescent="0.35">
      <c r="A250" s="202">
        <v>15</v>
      </c>
      <c r="B250" s="351" t="s">
        <v>293</v>
      </c>
      <c r="C250" s="349"/>
      <c r="D250" s="349"/>
      <c r="E250" s="350"/>
      <c r="F250" s="198"/>
      <c r="G250" s="198">
        <v>560</v>
      </c>
      <c r="H250" s="198">
        <v>0</v>
      </c>
      <c r="I250" s="198">
        <v>0</v>
      </c>
      <c r="J250" s="321">
        <v>0</v>
      </c>
      <c r="K250" s="207">
        <v>18</v>
      </c>
      <c r="M250"/>
    </row>
    <row r="251" spans="1:13" ht="24.9" customHeight="1" x14ac:dyDescent="0.3">
      <c r="A251" s="419" t="s">
        <v>104</v>
      </c>
      <c r="B251" s="357"/>
      <c r="C251" s="357"/>
      <c r="D251" s="357"/>
      <c r="E251" s="358"/>
      <c r="F251" s="315">
        <f>SUM(F236:F250)</f>
        <v>0</v>
      </c>
      <c r="G251" s="315">
        <f>SUM(G236:G250)</f>
        <v>9170</v>
      </c>
      <c r="H251" s="315">
        <f>SUM(H236:H250)</f>
        <v>3500</v>
      </c>
      <c r="I251" s="315">
        <v>51581515</v>
      </c>
      <c r="J251" s="322">
        <f>SUM(J236:J250)</f>
        <v>30000</v>
      </c>
      <c r="K251" s="316"/>
      <c r="M251"/>
    </row>
    <row r="252" spans="1:13" ht="24.9" customHeight="1" x14ac:dyDescent="0.35">
      <c r="A252" s="345">
        <f>IF(UPPER(F104)="YES",0,12.5)</f>
        <v>12.5</v>
      </c>
      <c r="B252" s="423" t="s">
        <v>121</v>
      </c>
      <c r="C252" s="424"/>
      <c r="D252" s="424"/>
      <c r="E252" s="425"/>
      <c r="F252" s="240"/>
      <c r="G252" s="241"/>
      <c r="H252" s="242"/>
      <c r="I252" s="241"/>
      <c r="J252" s="323">
        <f>A252*J251/100</f>
        <v>3750</v>
      </c>
      <c r="K252" s="243"/>
      <c r="M252"/>
    </row>
    <row r="253" spans="1:13" ht="24.9" customHeight="1" x14ac:dyDescent="0.3">
      <c r="A253" s="356" t="s">
        <v>122</v>
      </c>
      <c r="B253" s="357"/>
      <c r="C253" s="357"/>
      <c r="D253" s="357"/>
      <c r="E253" s="358"/>
      <c r="F253" s="317">
        <f>F251</f>
        <v>0</v>
      </c>
      <c r="G253" s="318">
        <f>G251</f>
        <v>9170</v>
      </c>
      <c r="H253" s="319">
        <f>H251</f>
        <v>3500</v>
      </c>
      <c r="I253" s="318">
        <f>I251</f>
        <v>51581515</v>
      </c>
      <c r="J253" s="324">
        <f>J251-J252</f>
        <v>26250</v>
      </c>
      <c r="K253" s="320"/>
      <c r="M253"/>
    </row>
    <row r="254" spans="1:13" ht="24.9" customHeight="1" x14ac:dyDescent="0.35">
      <c r="A254" s="244" t="s">
        <v>123</v>
      </c>
      <c r="B254" s="245"/>
      <c r="C254" s="327">
        <f>G253+H253+I253+J253</f>
        <v>51620435</v>
      </c>
      <c r="D254" s="203"/>
      <c r="E254" s="203"/>
      <c r="F254" s="246"/>
      <c r="G254" s="246"/>
      <c r="H254" s="246"/>
      <c r="I254" s="247">
        <v>0</v>
      </c>
      <c r="J254" s="325"/>
      <c r="K254" s="245"/>
      <c r="M254"/>
    </row>
    <row r="255" spans="1:13" ht="24.9" customHeight="1" x14ac:dyDescent="0.25">
      <c r="A255" s="248">
        <f>J107</f>
        <v>18</v>
      </c>
      <c r="B255" s="245" t="s">
        <v>105</v>
      </c>
      <c r="C255" s="245"/>
      <c r="D255" s="249"/>
      <c r="E255" s="249"/>
      <c r="F255" s="250">
        <f>(A255*F251)/100</f>
        <v>0</v>
      </c>
      <c r="G255" s="250">
        <f t="array" ref="G255">SUMPRODUCT(G236:G250,K236:K250/100)</f>
        <v>1650.6000000000001</v>
      </c>
      <c r="H255" s="250">
        <f t="array" ref="H255">SUMPRODUCT(H236:H250,K236:K250/100)</f>
        <v>630</v>
      </c>
      <c r="I255" s="250">
        <f t="array" ref="I255">SUMPRODUCT(I236:I250,K236:K250/100)</f>
        <v>0</v>
      </c>
      <c r="J255" s="326">
        <f>SUMPRODUCT($J$236:$J$250*IF($J$251=0,0,($J$251-$J$252)/$J$251),$K$236:$K$250/100)</f>
        <v>4725</v>
      </c>
      <c r="K255" s="245"/>
      <c r="M255"/>
    </row>
    <row r="256" spans="1:13" ht="24.9" customHeight="1" x14ac:dyDescent="0.25">
      <c r="A256" s="251" t="s">
        <v>124</v>
      </c>
      <c r="B256" s="223"/>
      <c r="C256" s="223"/>
      <c r="D256" s="223"/>
      <c r="E256" s="223"/>
      <c r="F256" s="315">
        <f>SUM(F253:F255)</f>
        <v>0</v>
      </c>
      <c r="G256" s="315">
        <f>SUM(G253:G255)</f>
        <v>10820.6</v>
      </c>
      <c r="H256" s="315">
        <f>SUM(H253:H255)</f>
        <v>4130</v>
      </c>
      <c r="I256" s="315">
        <f>SUM(I253:I255)</f>
        <v>51581515</v>
      </c>
      <c r="J256" s="322">
        <f>SUM(J253:J255)</f>
        <v>30975</v>
      </c>
      <c r="K256" s="316"/>
      <c r="M256"/>
    </row>
    <row r="257" spans="1:13" ht="24.9" customHeight="1" x14ac:dyDescent="0.3">
      <c r="A257" s="232" t="s">
        <v>125</v>
      </c>
      <c r="B257" s="232"/>
      <c r="C257" s="232"/>
      <c r="D257" s="232"/>
      <c r="E257" s="232"/>
      <c r="F257" s="252">
        <f>J234</f>
        <v>0</v>
      </c>
      <c r="G257" s="354">
        <f>G256+H256+I256+J256</f>
        <v>51627440.600000001</v>
      </c>
      <c r="H257" s="355"/>
      <c r="I257" s="355"/>
      <c r="J257" s="355"/>
      <c r="K257" s="231"/>
      <c r="M257"/>
    </row>
    <row r="258" spans="1:13" ht="24.9" customHeight="1" x14ac:dyDescent="0.35">
      <c r="A258" s="118"/>
      <c r="B258" s="115"/>
      <c r="C258" s="115"/>
      <c r="D258" s="121"/>
      <c r="E258" s="115"/>
      <c r="F258" s="171"/>
      <c r="G258" s="170"/>
      <c r="H258" s="171"/>
      <c r="I258" s="171"/>
      <c r="J258" s="171"/>
      <c r="K258" s="115"/>
      <c r="M258"/>
    </row>
    <row r="259" spans="1:13" ht="24.9" customHeight="1" x14ac:dyDescent="0.25">
      <c r="A259" s="421" t="s">
        <v>126</v>
      </c>
      <c r="B259" s="422"/>
      <c r="C259" s="236"/>
      <c r="D259" s="236"/>
      <c r="E259" s="236"/>
      <c r="F259" s="236"/>
      <c r="G259" s="236"/>
      <c r="H259" s="236"/>
      <c r="I259" s="236"/>
      <c r="J259" s="331">
        <f>SUMPRODUCT(ISNUMBER(MATCH($A$236:$A$250,$B$259:$I$259,0))*($G$236:$G$250+$H$236:$H$250+$I$236:$I$250+($J$236:$J$250*IF($J$251=0,0,($J$251-$J$252)/$J$251)))*50%)</f>
        <v>0</v>
      </c>
      <c r="K259" s="330">
        <f>SUMPRODUCT(ISNUMBER(MATCH($A$236:$A$250,$B$259:$I$259,0))*($K$236:$K$250=18)*($G$236:$G$250+$H$236:$H$250+$I$236:$I$250+($J$236:$J$250*IF($J$251=0,0,($J$251-$J$252)/$J$251)))*50%*18%)</f>
        <v>0</v>
      </c>
      <c r="M259"/>
    </row>
    <row r="260" spans="1:13" ht="24.9" customHeight="1" x14ac:dyDescent="0.35">
      <c r="A260" s="118"/>
      <c r="B260" s="115"/>
      <c r="C260" s="115"/>
      <c r="D260" s="121"/>
      <c r="E260" s="115"/>
      <c r="F260" s="115"/>
      <c r="G260" s="178">
        <v>0</v>
      </c>
      <c r="H260" s="115"/>
      <c r="I260" s="115"/>
      <c r="J260" s="115"/>
      <c r="K260" s="115"/>
      <c r="L260"/>
    </row>
    <row r="261" spans="1:13" ht="24.9" customHeight="1" x14ac:dyDescent="0.3">
      <c r="A261" s="118"/>
      <c r="B261" s="115"/>
      <c r="C261" s="115"/>
      <c r="D261" s="371" t="s">
        <v>127</v>
      </c>
      <c r="E261" s="372"/>
      <c r="F261" s="372"/>
      <c r="G261" s="179"/>
      <c r="H261" s="180"/>
      <c r="I261" s="181"/>
      <c r="J261" s="181"/>
      <c r="K261" s="182"/>
    </row>
    <row r="262" spans="1:13" ht="24.9" customHeight="1" x14ac:dyDescent="0.25">
      <c r="A262" s="115"/>
      <c r="B262" s="115"/>
      <c r="C262" s="115"/>
      <c r="D262" s="115"/>
      <c r="E262" s="115"/>
      <c r="F262" s="115"/>
      <c r="G262" s="115"/>
      <c r="H262" s="115"/>
      <c r="I262" s="115"/>
      <c r="J262" s="115"/>
      <c r="K262" s="115"/>
    </row>
    <row r="263" spans="1:13" ht="24.9" customHeight="1" x14ac:dyDescent="0.35">
      <c r="A263" s="121"/>
      <c r="B263" s="121"/>
      <c r="C263" s="121"/>
      <c r="D263" s="376" t="s">
        <v>128</v>
      </c>
      <c r="E263" s="374"/>
      <c r="F263" s="374"/>
      <c r="G263" s="370"/>
      <c r="H263" s="375">
        <f>E226</f>
        <v>1005611.5760000004</v>
      </c>
      <c r="I263" s="369"/>
      <c r="J263" s="368">
        <f>F226</f>
        <v>48489090.715700001</v>
      </c>
      <c r="K263" s="370"/>
    </row>
    <row r="264" spans="1:13" ht="24.9" customHeight="1" x14ac:dyDescent="0.35">
      <c r="A264" s="121"/>
      <c r="B264" s="121"/>
      <c r="C264" s="121"/>
      <c r="D264" s="376" t="s">
        <v>129</v>
      </c>
      <c r="E264" s="374"/>
      <c r="F264" s="374"/>
      <c r="G264" s="370"/>
      <c r="H264" s="375">
        <f>F257</f>
        <v>0</v>
      </c>
      <c r="I264" s="369"/>
      <c r="J264" s="368">
        <f>G257</f>
        <v>51627440.600000001</v>
      </c>
      <c r="K264" s="370"/>
    </row>
    <row r="265" spans="1:13" ht="24.9" customHeight="1" x14ac:dyDescent="0.35">
      <c r="A265" s="121"/>
      <c r="B265" s="121"/>
      <c r="C265" s="121"/>
      <c r="D265" s="376" t="s">
        <v>130</v>
      </c>
      <c r="E265" s="374"/>
      <c r="F265" s="374"/>
      <c r="G265" s="370"/>
      <c r="H265" s="368">
        <v>100</v>
      </c>
      <c r="I265" s="369"/>
      <c r="J265" s="368"/>
      <c r="K265" s="370"/>
    </row>
    <row r="266" spans="1:13" s="98" customFormat="1" ht="24.9" customHeight="1" x14ac:dyDescent="0.35">
      <c r="A266" s="121"/>
      <c r="B266" s="121"/>
      <c r="C266" s="121"/>
      <c r="D266" s="376" t="s">
        <v>104</v>
      </c>
      <c r="E266" s="374"/>
      <c r="F266" s="374"/>
      <c r="G266" s="370"/>
      <c r="H266" s="368">
        <f>H263+H264</f>
        <v>1005611.5760000004</v>
      </c>
      <c r="I266" s="369"/>
      <c r="J266" s="368">
        <f>SUM(J263:J265)</f>
        <v>100116531.31569999</v>
      </c>
      <c r="K266" s="370"/>
      <c r="L266"/>
    </row>
    <row r="267" spans="1:13" ht="24.9" customHeight="1" x14ac:dyDescent="0.35">
      <c r="A267" s="121"/>
      <c r="B267" s="121"/>
      <c r="C267" s="121"/>
      <c r="D267" s="376" t="s">
        <v>131</v>
      </c>
      <c r="E267" s="374"/>
      <c r="F267" s="374"/>
      <c r="G267" s="370"/>
      <c r="H267" s="368"/>
      <c r="I267" s="369"/>
      <c r="J267" s="368">
        <f>J105</f>
        <v>2000</v>
      </c>
      <c r="K267" s="370"/>
    </row>
    <row r="268" spans="1:13" ht="24.9" customHeight="1" x14ac:dyDescent="0.35">
      <c r="A268" s="121"/>
      <c r="B268" s="121"/>
      <c r="C268" s="121"/>
      <c r="D268" s="376" t="s">
        <v>132</v>
      </c>
      <c r="E268" s="374"/>
      <c r="F268" s="374"/>
      <c r="G268" s="370"/>
      <c r="H268" s="368"/>
      <c r="I268" s="369"/>
      <c r="J268" s="368"/>
      <c r="K268" s="370"/>
    </row>
    <row r="269" spans="1:13" ht="24.9" customHeight="1" x14ac:dyDescent="0.35">
      <c r="A269" s="121"/>
      <c r="B269" s="121"/>
      <c r="C269" s="121"/>
      <c r="D269" s="376" t="s">
        <v>133</v>
      </c>
      <c r="E269" s="374"/>
      <c r="F269" s="374"/>
      <c r="G269" s="370"/>
      <c r="H269" s="368"/>
      <c r="I269" s="369"/>
      <c r="J269" s="368">
        <f>SUM(J230,K230,J259,K259)</f>
        <v>0</v>
      </c>
      <c r="K269" s="370"/>
      <c r="L269"/>
    </row>
    <row r="270" spans="1:13" ht="24.9" customHeight="1" x14ac:dyDescent="0.35">
      <c r="A270" s="121"/>
      <c r="B270" s="121"/>
      <c r="C270" s="121"/>
      <c r="D270" s="155">
        <v>2.5</v>
      </c>
      <c r="E270" s="373" t="s">
        <v>134</v>
      </c>
      <c r="F270" s="374"/>
      <c r="G270" s="370"/>
      <c r="H270" s="368"/>
      <c r="I270" s="369"/>
      <c r="J270" s="368">
        <f>(D270*F220)/100</f>
        <v>234.96199999999996</v>
      </c>
      <c r="K270" s="370"/>
      <c r="L270"/>
    </row>
    <row r="271" spans="1:13" ht="24.9" customHeight="1" x14ac:dyDescent="0.35">
      <c r="A271" s="121"/>
      <c r="B271" s="121"/>
      <c r="C271" s="121"/>
      <c r="D271" s="328"/>
      <c r="E271" s="373" t="s">
        <v>135</v>
      </c>
      <c r="F271" s="374"/>
      <c r="G271" s="370"/>
      <c r="H271" s="368"/>
      <c r="I271" s="369"/>
      <c r="J271" s="368">
        <f>(D271*J266)/100</f>
        <v>0</v>
      </c>
      <c r="K271" s="370"/>
    </row>
    <row r="272" spans="1:13" ht="24.9" customHeight="1" x14ac:dyDescent="0.35">
      <c r="A272" s="121"/>
      <c r="B272" s="121"/>
      <c r="C272" s="121"/>
      <c r="D272" s="392" t="s">
        <v>136</v>
      </c>
      <c r="E272" s="393"/>
      <c r="F272" s="393"/>
      <c r="G272" s="394"/>
      <c r="H272" s="380">
        <f>H266</f>
        <v>1005611.5760000004</v>
      </c>
      <c r="I272" s="381"/>
      <c r="J272" s="380">
        <f>J266-J267-J268-J269-J270-J271</f>
        <v>100114296.3537</v>
      </c>
      <c r="K272" s="353"/>
    </row>
    <row r="273" spans="1:11" ht="24.9" customHeight="1" x14ac:dyDescent="0.25">
      <c r="A273" s="118"/>
      <c r="B273" s="115"/>
      <c r="C273" s="115"/>
      <c r="D273" s="115"/>
      <c r="E273" s="178"/>
      <c r="F273" s="178"/>
      <c r="G273" s="115"/>
      <c r="H273" s="115"/>
      <c r="I273" s="115"/>
      <c r="J273" s="115"/>
      <c r="K273" s="115"/>
    </row>
    <row r="274" spans="1:11" ht="24.9" customHeight="1" x14ac:dyDescent="0.25">
      <c r="A274" s="138"/>
      <c r="B274" s="138"/>
      <c r="C274" s="138"/>
      <c r="D274" s="183"/>
      <c r="E274" s="184"/>
      <c r="F274" s="184"/>
      <c r="G274" s="184"/>
      <c r="H274" s="184"/>
      <c r="I274" s="184"/>
      <c r="J274" s="184"/>
      <c r="K274" s="185"/>
    </row>
    <row r="275" spans="1:11" ht="24.9" customHeight="1" x14ac:dyDescent="0.25">
      <c r="A275" s="138"/>
      <c r="B275" s="138"/>
      <c r="C275" s="138"/>
      <c r="D275" s="138"/>
      <c r="E275" s="138"/>
      <c r="F275" s="138"/>
      <c r="G275" s="138"/>
      <c r="H275" s="138"/>
      <c r="I275" s="138"/>
      <c r="J275" s="138"/>
      <c r="K275" s="138"/>
    </row>
    <row r="276" spans="1:11" ht="24.9" customHeight="1" x14ac:dyDescent="0.35">
      <c r="A276" s="121"/>
      <c r="B276" s="121"/>
      <c r="C276" s="121"/>
      <c r="D276" s="121"/>
      <c r="E276" s="121"/>
      <c r="F276" s="121"/>
      <c r="G276" s="130"/>
      <c r="H276" s="130"/>
      <c r="I276" s="130"/>
      <c r="J276" s="130"/>
      <c r="K276" s="115"/>
    </row>
    <row r="277" spans="1:11" ht="24.9" customHeight="1" x14ac:dyDescent="0.3">
      <c r="A277" s="119"/>
      <c r="B277" s="119"/>
      <c r="C277" s="119"/>
      <c r="D277" s="186" t="s">
        <v>137</v>
      </c>
      <c r="E277" s="180"/>
      <c r="F277" s="180"/>
      <c r="G277" s="180"/>
      <c r="H277" s="180"/>
      <c r="I277" s="180"/>
      <c r="J277" s="384"/>
      <c r="K277" s="385"/>
    </row>
    <row r="278" spans="1:11" ht="24.9" customHeight="1" x14ac:dyDescent="0.35">
      <c r="A278" s="119"/>
      <c r="B278" s="119"/>
      <c r="C278" s="119"/>
      <c r="D278" s="164" t="s">
        <v>138</v>
      </c>
      <c r="E278" s="382" t="s">
        <v>139</v>
      </c>
      <c r="F278" s="383"/>
      <c r="G278" s="164" t="s">
        <v>140</v>
      </c>
      <c r="H278" s="187" t="s">
        <v>141</v>
      </c>
      <c r="I278" s="187" t="s">
        <v>142</v>
      </c>
      <c r="J278" s="388" t="s">
        <v>143</v>
      </c>
      <c r="K278" s="363"/>
    </row>
    <row r="279" spans="1:11" ht="24.9" customHeight="1" x14ac:dyDescent="0.35">
      <c r="A279" s="391"/>
      <c r="B279" s="390"/>
      <c r="C279" s="188"/>
      <c r="D279" s="168">
        <v>18</v>
      </c>
      <c r="E279" s="366">
        <f>SUMPRODUCT(($K$112:$K$192=D279)*(($F$112:$F$192*(1-$A$224/100))+($G$112:$G$192*(1-$C$224/100))+$H$112:$H$192))-SUMPRODUCT(ISNUMBER(MATCH($A$112:$A$192,$B$230:$I$230,0))*($K$112:$K$192=D279)*((($F$112:$F$192*(1-$A$224/100))+($G$112:$G$192*(1-$C$224/100))+$H$112:$H$192))*50%)</f>
        <v>20031.114999999998</v>
      </c>
      <c r="F279" s="367"/>
      <c r="G279" s="189">
        <f>E279*9/100</f>
        <v>1802.8003499999998</v>
      </c>
      <c r="H279" s="189">
        <f>E279*9/100</f>
        <v>1802.8003499999998</v>
      </c>
      <c r="I279" s="334"/>
      <c r="J279" s="377">
        <f>SUM(E279:I279)</f>
        <v>23636.715700000001</v>
      </c>
      <c r="K279" s="353"/>
    </row>
    <row r="280" spans="1:11" ht="24.9" customHeight="1" x14ac:dyDescent="0.35">
      <c r="A280" s="391"/>
      <c r="B280" s="390"/>
      <c r="C280" s="188"/>
      <c r="D280" s="168">
        <v>0</v>
      </c>
      <c r="E280" s="364">
        <f>SUMPRODUCT(($K$112:$K$192=D280)*(($F$112:$F$192*(1-$A$224/100))+($G$112:$G$192*(1-$C$224/100))+$H$112:$H$192))-SUMPRODUCT(ISNUMBER(MATCH($A$112:$A$192,$B$230:$I$230,0))*($K$112:$K$192=D280)*((($F$112:$F$192*(1-$A$224/100))+($G$112:$G$192*(1-$C$224/100))+$H$112:$H$192))*50%)</f>
        <v>0</v>
      </c>
      <c r="F280" s="365"/>
      <c r="G280" s="189">
        <f>0*E280/100</f>
        <v>0</v>
      </c>
      <c r="H280" s="189">
        <f>D280*E280/100</f>
        <v>0</v>
      </c>
      <c r="I280" s="334"/>
      <c r="J280" s="377">
        <f>E280</f>
        <v>0</v>
      </c>
      <c r="K280" s="353"/>
    </row>
    <row r="281" spans="1:11" ht="24.9" customHeight="1" x14ac:dyDescent="0.35">
      <c r="A281" s="391"/>
      <c r="B281" s="390"/>
      <c r="C281" s="188"/>
      <c r="D281" s="190" t="s">
        <v>144</v>
      </c>
      <c r="E281" s="380">
        <f>SUM(E279:E280)</f>
        <v>20031.114999999998</v>
      </c>
      <c r="F281" s="381"/>
      <c r="G281" s="191">
        <f>SUM(G279:G280)</f>
        <v>1802.8003499999998</v>
      </c>
      <c r="H281" s="191">
        <f>SUM(H279:H280)</f>
        <v>1802.8003499999998</v>
      </c>
      <c r="I281" s="191">
        <f>SUM(I279:I280)</f>
        <v>0</v>
      </c>
      <c r="J281" s="380">
        <f>SUM(J279:J280)</f>
        <v>23636.715700000001</v>
      </c>
      <c r="K281" s="353"/>
    </row>
    <row r="282" spans="1:11" ht="24.9" customHeight="1" x14ac:dyDescent="0.35">
      <c r="A282" s="389"/>
      <c r="B282" s="390"/>
      <c r="C282" s="188"/>
      <c r="D282" s="121"/>
      <c r="E282" s="192"/>
      <c r="F282" s="192"/>
      <c r="G282" s="192"/>
      <c r="H282" s="192"/>
      <c r="I282" s="192"/>
      <c r="J282" s="192"/>
      <c r="K282" s="121"/>
    </row>
    <row r="283" spans="1:11" ht="24.9" customHeight="1" x14ac:dyDescent="0.25">
      <c r="A283" s="118"/>
      <c r="B283" s="118"/>
      <c r="C283" s="118"/>
      <c r="D283" s="186" t="s">
        <v>145</v>
      </c>
      <c r="E283" s="193"/>
      <c r="F283" s="193"/>
      <c r="G283" s="193"/>
      <c r="H283" s="193"/>
      <c r="I283" s="193"/>
      <c r="J283" s="378"/>
      <c r="K283" s="379"/>
    </row>
    <row r="284" spans="1:11" ht="24.9" customHeight="1" x14ac:dyDescent="0.35">
      <c r="A284" s="118"/>
      <c r="B284" s="115"/>
      <c r="C284" s="115"/>
      <c r="D284" s="164" t="s">
        <v>138</v>
      </c>
      <c r="E284" s="426" t="s">
        <v>139</v>
      </c>
      <c r="F284" s="427"/>
      <c r="G284" s="194" t="s">
        <v>146</v>
      </c>
      <c r="H284" s="194" t="s">
        <v>141</v>
      </c>
      <c r="I284" s="194" t="s">
        <v>142</v>
      </c>
      <c r="J284" s="362" t="s">
        <v>143</v>
      </c>
      <c r="K284" s="363"/>
    </row>
    <row r="285" spans="1:11" ht="24.9" customHeight="1" x14ac:dyDescent="0.35">
      <c r="A285" s="118"/>
      <c r="B285" s="115"/>
      <c r="C285" s="115"/>
      <c r="D285" s="168">
        <v>18</v>
      </c>
      <c r="E285" s="366">
        <f>SUMPRODUCT(($K$236:$K$250=D285)*($G$236:$G$250+$H$236:$H$250+$I$236:$I$250+($J$236:$J$250*IF($J$251=0,0,($J$251-$J$252)/$J$251))))-SUMPRODUCT(ISNUMBER(MATCH($A$236:$A$250,$B$259:$F$259,0))*($K$236:$K$250=D285)*($G$236:$G$250+$H$236:$H$250+$I$236:$I$250+($J$236:$J$250*IF($J$251=0,0,($J$251-$J$252)/$J$251)))*50%)</f>
        <v>38920</v>
      </c>
      <c r="F285" s="367"/>
      <c r="G285" s="189">
        <f>E285*9/100</f>
        <v>3502.8</v>
      </c>
      <c r="H285" s="189">
        <f>9*E285/100</f>
        <v>3502.8</v>
      </c>
      <c r="I285" s="334"/>
      <c r="J285" s="377">
        <f>SUM(E285:I285)</f>
        <v>45925.600000000006</v>
      </c>
      <c r="K285" s="353"/>
    </row>
    <row r="286" spans="1:11" ht="24.9" customHeight="1" x14ac:dyDescent="0.35">
      <c r="A286" s="118"/>
      <c r="B286" s="115"/>
      <c r="C286" s="115"/>
      <c r="D286" s="168">
        <v>0</v>
      </c>
      <c r="E286" s="364">
        <f>SUMPRODUCT(($K$236:$K$250=D286)*($G$236:$G$250+$H$236:$H$250+$I$236:$I$250+($J$236:$J$250*IF($J$251=0,0,($J$251-$J$252)/$J$251))))-SUMPRODUCT(ISNUMBER(MATCH($A$236:$A$250,$B$259:$F$259,0))*($K$236:$K$250=D286)*($G$236:$G$250+$H$236:$H$250+$I$236:$I$250+($J$236:$J$250*IF($J$251=0,0,($J$251-$J$252)/$J$251)))*50%)</f>
        <v>0</v>
      </c>
      <c r="F286" s="365"/>
      <c r="G286" s="189">
        <f>D286*E286/100</f>
        <v>0</v>
      </c>
      <c r="H286" s="189">
        <f>D286*E286/100</f>
        <v>0</v>
      </c>
      <c r="I286" s="334"/>
      <c r="J286" s="377">
        <f>E286</f>
        <v>0</v>
      </c>
      <c r="K286" s="353"/>
    </row>
    <row r="287" spans="1:11" ht="24.9" customHeight="1" x14ac:dyDescent="0.35">
      <c r="A287" s="118"/>
      <c r="B287" s="115"/>
      <c r="C287" s="115"/>
      <c r="D287" s="190" t="s">
        <v>144</v>
      </c>
      <c r="E287" s="380">
        <f>SUM(E285:E286)</f>
        <v>38920</v>
      </c>
      <c r="F287" s="381"/>
      <c r="G287" s="191">
        <f>SUM(G285:G286)</f>
        <v>3502.8</v>
      </c>
      <c r="H287" s="191">
        <f>SUM(H285:H286)</f>
        <v>3502.8</v>
      </c>
      <c r="I287" s="332">
        <f>SUM(I285:I286)</f>
        <v>0</v>
      </c>
      <c r="J287" s="380">
        <f>SUM(J285:J286)</f>
        <v>45925.600000000006</v>
      </c>
      <c r="K287" s="353"/>
    </row>
    <row r="288" spans="1:11" ht="24.9" customHeight="1" x14ac:dyDescent="0.35">
      <c r="A288" s="118"/>
      <c r="B288" s="115"/>
      <c r="C288" s="115"/>
      <c r="D288" s="121"/>
      <c r="E288" s="115">
        <v>0</v>
      </c>
      <c r="F288" s="121"/>
      <c r="G288" s="121"/>
      <c r="H288" s="121"/>
      <c r="I288" s="121"/>
      <c r="J288" s="121"/>
      <c r="K288" s="121"/>
    </row>
    <row r="289" spans="1:13" ht="24.9" customHeight="1" x14ac:dyDescent="0.35">
      <c r="A289" s="121"/>
      <c r="B289" s="387" t="s">
        <v>147</v>
      </c>
      <c r="C289" s="387"/>
      <c r="D289" s="387"/>
      <c r="E289" s="387"/>
      <c r="F289" s="387"/>
      <c r="G289" s="387"/>
      <c r="H289" s="387"/>
      <c r="I289" s="387"/>
      <c r="J289" s="387"/>
      <c r="K289" s="387"/>
    </row>
    <row r="290" spans="1:13" ht="24.9" customHeight="1" x14ac:dyDescent="0.35">
      <c r="A290" s="121"/>
      <c r="B290" s="387"/>
      <c r="C290" s="387"/>
      <c r="D290" s="387"/>
      <c r="E290" s="387"/>
      <c r="F290" s="387"/>
      <c r="G290" s="387"/>
      <c r="H290" s="387"/>
      <c r="I290" s="387"/>
      <c r="J290" s="387"/>
      <c r="K290" s="387"/>
    </row>
    <row r="291" spans="1:13" ht="24.9" customHeight="1" x14ac:dyDescent="0.35">
      <c r="A291" s="121"/>
      <c r="B291" s="387"/>
      <c r="C291" s="387"/>
      <c r="D291" s="387"/>
      <c r="E291" s="387"/>
      <c r="F291" s="387"/>
      <c r="G291" s="387"/>
      <c r="H291" s="387"/>
      <c r="I291" s="387"/>
      <c r="J291" s="387"/>
      <c r="K291" s="387"/>
    </row>
    <row r="292" spans="1:13" ht="24.9" customHeight="1" x14ac:dyDescent="0.35">
      <c r="A292" s="121"/>
      <c r="B292" s="387"/>
      <c r="C292" s="387"/>
      <c r="D292" s="387"/>
      <c r="E292" s="387"/>
      <c r="F292" s="387"/>
      <c r="G292" s="387"/>
      <c r="H292" s="387"/>
      <c r="I292" s="387"/>
      <c r="J292" s="387"/>
      <c r="K292" s="387"/>
    </row>
    <row r="293" spans="1:13" ht="24.9" customHeight="1" x14ac:dyDescent="0.35">
      <c r="A293" s="118"/>
      <c r="B293" s="389" t="s">
        <v>148</v>
      </c>
      <c r="C293" s="391"/>
      <c r="D293" s="391"/>
      <c r="E293" s="118" t="s">
        <v>149</v>
      </c>
      <c r="F293" s="118"/>
      <c r="G293" s="118">
        <v>0</v>
      </c>
      <c r="H293" s="121"/>
      <c r="I293" s="121"/>
      <c r="J293" s="121"/>
      <c r="K293" s="121"/>
    </row>
    <row r="294" spans="1:13" ht="24.9" customHeight="1" x14ac:dyDescent="0.25">
      <c r="A294" s="118"/>
      <c r="B294" s="386" t="s">
        <v>150</v>
      </c>
      <c r="C294" s="386"/>
      <c r="D294" s="386"/>
      <c r="E294" s="386"/>
      <c r="F294" s="386"/>
      <c r="G294" s="386"/>
      <c r="H294" s="386"/>
      <c r="I294" s="386"/>
      <c r="J294" s="386"/>
      <c r="K294" s="386"/>
    </row>
    <row r="295" spans="1:13" ht="24.9" customHeight="1" x14ac:dyDescent="0.25">
      <c r="A295" s="118"/>
      <c r="B295" s="386"/>
      <c r="C295" s="386"/>
      <c r="D295" s="386"/>
      <c r="E295" s="386"/>
      <c r="F295" s="386"/>
      <c r="G295" s="386"/>
      <c r="H295" s="386"/>
      <c r="I295" s="386"/>
      <c r="J295" s="386"/>
      <c r="K295" s="386"/>
    </row>
    <row r="296" spans="1:13" ht="24.9" customHeight="1" x14ac:dyDescent="0.25">
      <c r="A296" s="118"/>
      <c r="B296" s="386"/>
      <c r="C296" s="386"/>
      <c r="D296" s="386"/>
      <c r="E296" s="386"/>
      <c r="F296" s="386"/>
      <c r="G296" s="386"/>
      <c r="H296" s="386"/>
      <c r="I296" s="386"/>
      <c r="J296" s="386"/>
      <c r="K296" s="386"/>
    </row>
    <row r="297" spans="1:13" ht="24.9" customHeight="1" x14ac:dyDescent="0.25">
      <c r="A297" s="118"/>
      <c r="B297" s="386"/>
      <c r="C297" s="386"/>
      <c r="D297" s="386"/>
      <c r="E297" s="386"/>
      <c r="F297" s="386"/>
      <c r="G297" s="386"/>
      <c r="H297" s="386"/>
      <c r="I297" s="386"/>
      <c r="J297" s="386"/>
      <c r="K297" s="386"/>
    </row>
    <row r="298" spans="1:13" ht="24.9" customHeight="1" x14ac:dyDescent="0.25">
      <c r="A298" s="118"/>
      <c r="B298" s="386"/>
      <c r="C298" s="386"/>
      <c r="D298" s="386"/>
      <c r="E298" s="386"/>
      <c r="F298" s="386"/>
      <c r="G298" s="386"/>
      <c r="H298" s="386"/>
      <c r="I298" s="386"/>
      <c r="J298" s="386"/>
      <c r="K298" s="386"/>
    </row>
    <row r="299" spans="1:13" ht="24.9" customHeight="1" x14ac:dyDescent="0.25">
      <c r="A299" s="118"/>
      <c r="B299" s="386"/>
      <c r="C299" s="386"/>
      <c r="D299" s="386"/>
      <c r="E299" s="386"/>
      <c r="F299" s="386"/>
      <c r="G299" s="386"/>
      <c r="H299" s="386"/>
      <c r="I299" s="386"/>
      <c r="J299" s="386"/>
      <c r="K299" s="386"/>
      <c r="L299"/>
    </row>
    <row r="300" spans="1:13" ht="24.9" customHeight="1" x14ac:dyDescent="0.25">
      <c r="A300" s="118"/>
      <c r="B300" s="115"/>
      <c r="C300" s="115"/>
      <c r="D300" s="115"/>
      <c r="E300" s="115"/>
      <c r="F300" s="115"/>
      <c r="G300" s="115"/>
      <c r="H300" s="118" t="str">
        <f>A1</f>
        <v>Jeewan deep Batta</v>
      </c>
      <c r="I300" s="115"/>
      <c r="J300" s="115"/>
      <c r="K300" s="115"/>
    </row>
    <row r="301" spans="1:13" ht="24.9" customHeight="1" x14ac:dyDescent="0.25">
      <c r="A301" s="118"/>
      <c r="B301" s="115" t="s">
        <v>151</v>
      </c>
      <c r="C301" s="115"/>
      <c r="D301" s="115"/>
      <c r="E301" s="115"/>
      <c r="F301" s="115"/>
      <c r="G301" s="115"/>
      <c r="H301" s="118"/>
      <c r="I301" s="115"/>
      <c r="J301" s="115"/>
      <c r="K301" s="115"/>
      <c r="L301"/>
      <c r="M301"/>
    </row>
    <row r="302" spans="1:13" ht="24.9" customHeight="1" x14ac:dyDescent="0.25">
      <c r="A302" s="118"/>
      <c r="B302" s="115" t="s">
        <v>152</v>
      </c>
      <c r="C302" s="115"/>
      <c r="D302" s="115"/>
      <c r="E302" s="115"/>
      <c r="F302" s="115"/>
      <c r="G302" s="115"/>
      <c r="H302" s="118" t="s">
        <v>0</v>
      </c>
      <c r="I302" s="115"/>
      <c r="J302" s="115"/>
      <c r="K302" s="115"/>
    </row>
    <row r="303" spans="1:13" ht="24.9" customHeight="1" x14ac:dyDescent="0.25">
      <c r="A303" s="115"/>
      <c r="B303" s="115"/>
      <c r="C303" s="115"/>
      <c r="D303" s="115"/>
      <c r="E303" s="115"/>
      <c r="F303" s="115"/>
      <c r="G303" s="115"/>
      <c r="H303" s="115"/>
      <c r="I303" s="115"/>
      <c r="J303" s="115"/>
      <c r="K303" s="115"/>
      <c r="L303"/>
    </row>
    <row r="304" spans="1:13" s="97" customFormat="1" ht="24.9" customHeight="1" x14ac:dyDescent="0.25">
      <c r="A304" s="115"/>
      <c r="B304" s="115"/>
      <c r="C304" s="115"/>
      <c r="D304" s="115"/>
      <c r="E304" s="115"/>
      <c r="F304" s="115"/>
      <c r="G304" s="115"/>
      <c r="H304" s="115"/>
      <c r="I304" s="115"/>
      <c r="J304" s="115"/>
      <c r="K304" s="115"/>
    </row>
    <row r="305" spans="1:14" ht="24.9" customHeight="1" x14ac:dyDescent="0.25">
      <c r="A305"/>
      <c r="B305"/>
      <c r="C305"/>
      <c r="D305"/>
      <c r="E305"/>
      <c r="F305"/>
      <c r="G305"/>
      <c r="H305"/>
      <c r="I305"/>
      <c r="J305"/>
      <c r="K305"/>
    </row>
    <row r="306" spans="1:14" ht="24.9" customHeight="1" x14ac:dyDescent="0.25">
      <c r="A306"/>
      <c r="B306"/>
      <c r="C306"/>
      <c r="D306"/>
      <c r="E306"/>
      <c r="F306"/>
      <c r="G306"/>
      <c r="H306"/>
      <c r="I306"/>
      <c r="J306"/>
      <c r="K306"/>
      <c r="L306"/>
      <c r="M306"/>
      <c r="N306"/>
    </row>
    <row r="307" spans="1:14" ht="24.9" customHeight="1" x14ac:dyDescent="0.25">
      <c r="A307"/>
      <c r="B307"/>
      <c r="C307"/>
      <c r="D307"/>
      <c r="E307"/>
      <c r="F307"/>
      <c r="G307"/>
      <c r="H307"/>
      <c r="I307"/>
      <c r="J307"/>
      <c r="K307"/>
    </row>
    <row r="308" spans="1:14" ht="24.9" customHeight="1" x14ac:dyDescent="0.25">
      <c r="A308"/>
      <c r="B308"/>
      <c r="C308"/>
      <c r="D308"/>
      <c r="E308"/>
      <c r="F308"/>
      <c r="G308"/>
      <c r="H308"/>
      <c r="I308"/>
      <c r="J308"/>
      <c r="K308"/>
    </row>
    <row r="309" spans="1:14" ht="24.9" customHeight="1" x14ac:dyDescent="0.25"/>
    <row r="310" spans="1:14" ht="24.9" customHeight="1" x14ac:dyDescent="0.25"/>
    <row r="311" spans="1:14" s="96" customFormat="1" ht="24.9" customHeight="1" x14ac:dyDescent="0.25">
      <c r="A311"/>
      <c r="B311"/>
      <c r="C311"/>
      <c r="D311"/>
      <c r="E311"/>
      <c r="F311"/>
      <c r="G311"/>
      <c r="H311"/>
      <c r="I311"/>
      <c r="J311"/>
      <c r="K311"/>
    </row>
    <row r="312" spans="1:14" s="96" customFormat="1" ht="24.9" customHeight="1" x14ac:dyDescent="0.25">
      <c r="A312"/>
      <c r="B312"/>
      <c r="C312"/>
      <c r="D312"/>
      <c r="E312"/>
      <c r="F312"/>
      <c r="G312"/>
      <c r="H312"/>
      <c r="I312"/>
      <c r="J312"/>
      <c r="K312"/>
      <c r="L312"/>
    </row>
    <row r="313" spans="1:14" ht="24.9" customHeight="1" x14ac:dyDescent="0.25">
      <c r="A313"/>
      <c r="B313"/>
      <c r="C313"/>
      <c r="D313"/>
      <c r="E313"/>
      <c r="F313"/>
      <c r="G313"/>
      <c r="H313"/>
      <c r="I313"/>
      <c r="J313"/>
      <c r="K313"/>
    </row>
    <row r="314" spans="1:14" ht="24.9" customHeight="1" x14ac:dyDescent="0.25"/>
    <row r="315" spans="1:14" ht="24.9" customHeight="1" x14ac:dyDescent="0.25"/>
    <row r="316" spans="1:14" ht="24.9" customHeight="1" x14ac:dyDescent="0.25"/>
    <row r="317" spans="1:14" ht="24.9" customHeight="1" x14ac:dyDescent="0.25">
      <c r="L317"/>
      <c r="M317"/>
    </row>
    <row r="318" spans="1:14" ht="24.9" customHeight="1" x14ac:dyDescent="0.25">
      <c r="B318"/>
      <c r="D318"/>
      <c r="E318"/>
    </row>
    <row r="319" spans="1:14" ht="24.9" customHeight="1" x14ac:dyDescent="0.25">
      <c r="B319"/>
      <c r="E319"/>
    </row>
    <row r="320" spans="1:14" ht="24.9" customHeight="1" x14ac:dyDescent="0.25">
      <c r="L320"/>
    </row>
    <row r="321" spans="12:14" ht="24.9" customHeight="1" x14ac:dyDescent="0.25">
      <c r="L321"/>
      <c r="M321"/>
      <c r="N321"/>
    </row>
    <row r="322" spans="12:14" ht="24.9" customHeight="1" x14ac:dyDescent="0.25"/>
    <row r="323" spans="12:14" ht="24.9" customHeight="1" x14ac:dyDescent="0.25"/>
    <row r="324" spans="12:14" ht="24.9" customHeight="1" x14ac:dyDescent="0.25"/>
    <row r="325" spans="12:14" ht="24.9" customHeight="1" x14ac:dyDescent="0.25"/>
    <row r="326" spans="12:14" ht="24.9" customHeight="1" x14ac:dyDescent="0.25"/>
    <row r="327" spans="12:14" ht="24.9" customHeight="1" x14ac:dyDescent="0.25"/>
    <row r="328" spans="12:14" ht="24.9" customHeight="1" x14ac:dyDescent="0.25"/>
    <row r="329" spans="12:14" ht="24.9" customHeight="1" x14ac:dyDescent="0.25"/>
    <row r="330" spans="12:14" ht="24.9" customHeight="1" x14ac:dyDescent="0.25"/>
    <row r="331" spans="12:14" ht="24.9" customHeight="1" x14ac:dyDescent="0.25"/>
    <row r="332" spans="12:14" ht="24.9" customHeight="1" x14ac:dyDescent="0.25"/>
    <row r="333" spans="12:14" ht="24.9" customHeight="1" x14ac:dyDescent="0.25"/>
    <row r="334" spans="12:14" ht="24.9" customHeight="1" x14ac:dyDescent="0.25"/>
    <row r="335" spans="12:14" ht="24.9" customHeight="1" x14ac:dyDescent="0.25"/>
    <row r="336" spans="12:14" ht="24.9" customHeight="1" x14ac:dyDescent="0.25"/>
    <row r="337" ht="24.9" customHeight="1" x14ac:dyDescent="0.25"/>
    <row r="338" ht="24.9" customHeight="1" x14ac:dyDescent="0.25"/>
    <row r="339" ht="24.9" customHeight="1" x14ac:dyDescent="0.25"/>
    <row r="340" ht="24.9" customHeight="1" x14ac:dyDescent="0.25"/>
    <row r="341" ht="24.9" customHeight="1" x14ac:dyDescent="0.25"/>
    <row r="342" ht="24.9" customHeight="1" x14ac:dyDescent="0.25"/>
    <row r="343" ht="24.9" customHeight="1" x14ac:dyDescent="0.25"/>
    <row r="344" ht="24.9" customHeight="1" x14ac:dyDescent="0.25"/>
    <row r="345" ht="24.9" customHeight="1" x14ac:dyDescent="0.25"/>
    <row r="346" ht="24.9" customHeight="1" x14ac:dyDescent="0.25"/>
    <row r="347" ht="24.9" customHeight="1" x14ac:dyDescent="0.25"/>
    <row r="348" ht="24.9" customHeight="1" x14ac:dyDescent="0.25"/>
    <row r="349" ht="24.9" customHeight="1" x14ac:dyDescent="0.25"/>
    <row r="351" ht="24.9" customHeight="1" x14ac:dyDescent="0.25"/>
    <row r="352" ht="24.9" customHeight="1" x14ac:dyDescent="0.25"/>
    <row r="353" spans="1:11" ht="24.9" customHeight="1" x14ac:dyDescent="0.25"/>
    <row r="354" spans="1:11" ht="24.9" customHeight="1" x14ac:dyDescent="0.25"/>
    <row r="355" spans="1:11" s="98" customFormat="1" ht="24.9" customHeight="1" x14ac:dyDescent="0.25">
      <c r="A355"/>
      <c r="B355"/>
      <c r="C355"/>
      <c r="D355"/>
      <c r="E355"/>
      <c r="F355"/>
      <c r="G355"/>
      <c r="H355"/>
      <c r="I355"/>
      <c r="J355"/>
      <c r="K355"/>
    </row>
    <row r="356" spans="1:11" ht="24.9" customHeight="1" x14ac:dyDescent="0.25"/>
    <row r="357" spans="1:11" ht="24.9" customHeight="1" x14ac:dyDescent="0.25"/>
    <row r="358" spans="1:11" ht="24.9" customHeight="1" x14ac:dyDescent="0.25"/>
    <row r="359" spans="1:11" s="98" customFormat="1" ht="24.9" customHeight="1" x14ac:dyDescent="0.25">
      <c r="A359"/>
      <c r="B359"/>
      <c r="C359"/>
      <c r="D359"/>
      <c r="E359"/>
      <c r="F359"/>
      <c r="G359"/>
      <c r="H359"/>
      <c r="I359"/>
      <c r="J359"/>
      <c r="K359"/>
    </row>
    <row r="360" spans="1:11" s="99" customFormat="1" ht="24.9" customHeight="1" x14ac:dyDescent="0.25">
      <c r="A360"/>
      <c r="B360"/>
      <c r="C360"/>
      <c r="D360"/>
      <c r="E360"/>
      <c r="F360"/>
      <c r="G360"/>
      <c r="H360"/>
      <c r="I360"/>
      <c r="J360"/>
      <c r="K360"/>
    </row>
    <row r="361" spans="1:11" ht="24.9" customHeight="1" x14ac:dyDescent="0.25"/>
    <row r="362" spans="1:11" ht="24.9" customHeight="1" x14ac:dyDescent="0.25"/>
    <row r="363" spans="1:11" ht="24.9" customHeight="1" x14ac:dyDescent="0.25"/>
  </sheetData>
  <mergeCells count="187">
    <mergeCell ref="B293:D293"/>
    <mergeCell ref="B115:D115"/>
    <mergeCell ref="B238:E238"/>
    <mergeCell ref="B236:E236"/>
    <mergeCell ref="A280:B280"/>
    <mergeCell ref="D265:G265"/>
    <mergeCell ref="B235:E235"/>
    <mergeCell ref="F226:H226"/>
    <mergeCell ref="H263:I263"/>
    <mergeCell ref="A220:D220"/>
    <mergeCell ref="A251:E251"/>
    <mergeCell ref="B237:E237"/>
    <mergeCell ref="H267:I267"/>
    <mergeCell ref="D267:G267"/>
    <mergeCell ref="H268:I268"/>
    <mergeCell ref="A259:B259"/>
    <mergeCell ref="B252:E252"/>
    <mergeCell ref="B136:D136"/>
    <mergeCell ref="E284:F284"/>
    <mergeCell ref="J6:K6"/>
    <mergeCell ref="B7:K7"/>
    <mergeCell ref="F26:G26"/>
    <mergeCell ref="J106:K106"/>
    <mergeCell ref="H26:I26"/>
    <mergeCell ref="J105:K105"/>
    <mergeCell ref="I12:K12"/>
    <mergeCell ref="F67:G67"/>
    <mergeCell ref="B88:K93"/>
    <mergeCell ref="A106:E106"/>
    <mergeCell ref="J9:K9"/>
    <mergeCell ref="F22:H22"/>
    <mergeCell ref="J104:K104"/>
    <mergeCell ref="B96:J96"/>
    <mergeCell ref="B98:J98"/>
    <mergeCell ref="A104:E104"/>
    <mergeCell ref="A107:E107"/>
    <mergeCell ref="B97:J97"/>
    <mergeCell ref="F25:G25"/>
    <mergeCell ref="A105:E105"/>
    <mergeCell ref="G104:I104"/>
    <mergeCell ref="B99:J99"/>
    <mergeCell ref="B139:D139"/>
    <mergeCell ref="B140:D140"/>
    <mergeCell ref="B95:J95"/>
    <mergeCell ref="J107:K107"/>
    <mergeCell ref="B82:K86"/>
    <mergeCell ref="B113:D113"/>
    <mergeCell ref="B114:D114"/>
    <mergeCell ref="B112:D112"/>
    <mergeCell ref="J277:K277"/>
    <mergeCell ref="B294:K299"/>
    <mergeCell ref="D263:G263"/>
    <mergeCell ref="E281:F281"/>
    <mergeCell ref="B289:K292"/>
    <mergeCell ref="E287:F287"/>
    <mergeCell ref="J267:K267"/>
    <mergeCell ref="D266:G266"/>
    <mergeCell ref="H269:I269"/>
    <mergeCell ref="J269:K269"/>
    <mergeCell ref="J278:K278"/>
    <mergeCell ref="H271:I271"/>
    <mergeCell ref="J287:K287"/>
    <mergeCell ref="J286:K286"/>
    <mergeCell ref="D268:G268"/>
    <mergeCell ref="J285:K285"/>
    <mergeCell ref="J270:K270"/>
    <mergeCell ref="E286:F286"/>
    <mergeCell ref="E285:F285"/>
    <mergeCell ref="A282:B282"/>
    <mergeCell ref="A281:B281"/>
    <mergeCell ref="A279:B279"/>
    <mergeCell ref="D272:G272"/>
    <mergeCell ref="J271:K271"/>
    <mergeCell ref="J284:K284"/>
    <mergeCell ref="E280:F280"/>
    <mergeCell ref="E279:F279"/>
    <mergeCell ref="H270:I270"/>
    <mergeCell ref="J264:K264"/>
    <mergeCell ref="D261:F261"/>
    <mergeCell ref="J268:K268"/>
    <mergeCell ref="E270:G270"/>
    <mergeCell ref="J266:K266"/>
    <mergeCell ref="H264:I264"/>
    <mergeCell ref="D269:G269"/>
    <mergeCell ref="H266:I266"/>
    <mergeCell ref="J263:K263"/>
    <mergeCell ref="J265:K265"/>
    <mergeCell ref="D264:G264"/>
    <mergeCell ref="H265:I265"/>
    <mergeCell ref="J280:K280"/>
    <mergeCell ref="J283:K283"/>
    <mergeCell ref="J279:K279"/>
    <mergeCell ref="E271:G271"/>
    <mergeCell ref="H272:I272"/>
    <mergeCell ref="J281:K281"/>
    <mergeCell ref="J272:K272"/>
    <mergeCell ref="E278:F278"/>
    <mergeCell ref="J234:K234"/>
    <mergeCell ref="G257:J257"/>
    <mergeCell ref="A253:E253"/>
    <mergeCell ref="A234:I234"/>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41:D141"/>
    <mergeCell ref="B142:D142"/>
    <mergeCell ref="B143:D143"/>
    <mergeCell ref="B144:D144"/>
    <mergeCell ref="B145:D145"/>
    <mergeCell ref="B146:D146"/>
    <mergeCell ref="B147:D147"/>
    <mergeCell ref="B137:D137"/>
    <mergeCell ref="B138:D138"/>
    <mergeCell ref="B148:D148"/>
    <mergeCell ref="B149:D149"/>
    <mergeCell ref="B150:D150"/>
    <mergeCell ref="B151:D151"/>
    <mergeCell ref="B152:D152"/>
    <mergeCell ref="B153:D153"/>
    <mergeCell ref="B154:D154"/>
    <mergeCell ref="B155:D155"/>
    <mergeCell ref="B156:D156"/>
    <mergeCell ref="B177:D177"/>
    <mergeCell ref="B178:D178"/>
    <mergeCell ref="B179:D179"/>
    <mergeCell ref="B180:D180"/>
    <mergeCell ref="B157:D157"/>
    <mergeCell ref="B158:D158"/>
    <mergeCell ref="B159:D159"/>
    <mergeCell ref="B160:D160"/>
    <mergeCell ref="B161:D161"/>
    <mergeCell ref="B162:D162"/>
    <mergeCell ref="B163:D163"/>
    <mergeCell ref="B164:D164"/>
    <mergeCell ref="B165:D165"/>
    <mergeCell ref="B240:E240"/>
    <mergeCell ref="B250:E250"/>
    <mergeCell ref="B241:E241"/>
    <mergeCell ref="B242:E242"/>
    <mergeCell ref="B243:E243"/>
    <mergeCell ref="B244:E244"/>
    <mergeCell ref="B245:E245"/>
    <mergeCell ref="B246:E246"/>
    <mergeCell ref="B247:E247"/>
    <mergeCell ref="B248:E248"/>
    <mergeCell ref="B249:E249"/>
    <mergeCell ref="B186:D186"/>
    <mergeCell ref="B187:D187"/>
    <mergeCell ref="B188:D188"/>
    <mergeCell ref="B189:D189"/>
    <mergeCell ref="B190:D190"/>
    <mergeCell ref="B191:D191"/>
    <mergeCell ref="B192:D192"/>
    <mergeCell ref="B239:E239"/>
    <mergeCell ref="B166:D166"/>
    <mergeCell ref="B167:D167"/>
    <mergeCell ref="B181:D181"/>
    <mergeCell ref="B182:D182"/>
    <mergeCell ref="B183:D183"/>
    <mergeCell ref="B184:D184"/>
    <mergeCell ref="B185:D185"/>
    <mergeCell ref="B168:D168"/>
    <mergeCell ref="B169:D169"/>
    <mergeCell ref="B170:D170"/>
    <mergeCell ref="B171:D171"/>
    <mergeCell ref="B172:D172"/>
    <mergeCell ref="B173:D173"/>
    <mergeCell ref="B174:D174"/>
    <mergeCell ref="B175:D175"/>
    <mergeCell ref="B176:D176"/>
  </mergeCells>
  <printOptions horizontalCentered="1"/>
  <pageMargins left="0.31496062992125984" right="0.11811023622047245" top="0.74803149606299213" bottom="0.74803149606299213" header="0.31496062992125984" footer="0.31496062992125984"/>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55"/>
  <sheetViews>
    <sheetView topLeftCell="A22" workbookViewId="0">
      <selection activeCell="C25" sqref="C25"/>
    </sheetView>
  </sheetViews>
  <sheetFormatPr defaultColWidth="14.42578125" defaultRowHeight="13.2" x14ac:dyDescent="0.25"/>
  <cols>
    <col min="1" max="1" width="3.85546875" style="237" customWidth="1"/>
    <col min="2" max="2" width="4.42578125" style="237" customWidth="1"/>
    <col min="3" max="4" width="9.28515625" style="237" customWidth="1"/>
    <col min="5" max="5" width="10" style="237" customWidth="1"/>
    <col min="6" max="6" width="13.7109375" style="237" customWidth="1"/>
    <col min="7" max="7" width="11" style="237" customWidth="1"/>
    <col min="8" max="8" width="13.42578125" style="237" customWidth="1"/>
    <col min="9" max="10" width="9.28515625" style="237" customWidth="1"/>
    <col min="11" max="11" width="6.28515625" style="237" customWidth="1"/>
    <col min="12" max="12" width="14.85546875" style="237" customWidth="1"/>
    <col min="13" max="13" width="6.140625" style="237" customWidth="1"/>
    <col min="14" max="26" width="8.7109375" style="237" customWidth="1"/>
    <col min="27" max="16384" width="14.42578125" style="237"/>
  </cols>
  <sheetData>
    <row r="1" spans="2:13" ht="20.100000000000001" customHeight="1" x14ac:dyDescent="0.25">
      <c r="B1" s="341"/>
      <c r="C1" s="342"/>
      <c r="D1" s="342"/>
      <c r="E1" s="342"/>
      <c r="F1" s="342"/>
      <c r="G1" s="342"/>
      <c r="H1" s="342"/>
      <c r="I1" s="342"/>
      <c r="J1" s="342"/>
      <c r="K1" s="342"/>
      <c r="L1" s="342"/>
      <c r="M1" s="343"/>
    </row>
    <row r="2" spans="2:13" ht="20.100000000000001" customHeight="1" x14ac:dyDescent="0.4">
      <c r="B2" s="291"/>
      <c r="C2" s="254" t="str">
        <f>'Survey report'!A1</f>
        <v>Jeewan deep Batta</v>
      </c>
      <c r="D2" s="292"/>
      <c r="J2" s="203" t="str">
        <f>'Survey report'!I1</f>
        <v>17/102,royal estate</v>
      </c>
      <c r="K2" s="203"/>
      <c r="L2" s="203"/>
      <c r="M2" s="339"/>
    </row>
    <row r="3" spans="2:13" ht="20.100000000000001" customHeight="1" x14ac:dyDescent="0.35">
      <c r="B3" s="271"/>
      <c r="C3" s="203" t="str">
        <f>'Survey report'!A2</f>
        <v>Surveyor &amp; Loss Assessor</v>
      </c>
      <c r="D3" s="272"/>
      <c r="E3" s="203"/>
      <c r="F3" s="203"/>
      <c r="J3" s="203" t="str">
        <f>'Survey report'!I2</f>
        <v>Zirakpur-140604</v>
      </c>
      <c r="K3" s="203"/>
      <c r="L3" s="203"/>
      <c r="M3" s="339"/>
    </row>
    <row r="4" spans="2:13" ht="20.100000000000001" customHeight="1" x14ac:dyDescent="0.35">
      <c r="B4" s="271"/>
      <c r="C4" s="203" t="str">
        <f>'Survey report'!A3</f>
        <v>License No. SLA-7777 Expirey: 26/10/2027</v>
      </c>
      <c r="D4" s="203"/>
      <c r="E4" s="203"/>
      <c r="F4" s="203"/>
      <c r="I4" s="278"/>
      <c r="J4" s="203" t="str">
        <f>'Survey report'!I3</f>
        <v>Mob: 9814035162</v>
      </c>
      <c r="K4" s="203"/>
      <c r="L4" s="203"/>
      <c r="M4" s="339"/>
    </row>
    <row r="5" spans="2:13" ht="20.100000000000001" customHeight="1" x14ac:dyDescent="0.35">
      <c r="B5" s="271"/>
      <c r="C5" s="273" t="str">
        <f>'Survey report'!A4</f>
        <v>IISLA No. F/N/05949</v>
      </c>
      <c r="D5" s="273"/>
      <c r="E5" s="273"/>
      <c r="F5" s="273"/>
      <c r="G5" s="293"/>
      <c r="H5" s="293"/>
      <c r="I5" s="256"/>
      <c r="J5" s="256" t="str">
        <f>'Survey report'!I4</f>
        <v>jd.batta8810@gmail.com</v>
      </c>
      <c r="K5" s="256"/>
      <c r="L5" s="256"/>
      <c r="M5" s="339"/>
    </row>
    <row r="6" spans="2:13" ht="20.100000000000001" customHeight="1" x14ac:dyDescent="0.25">
      <c r="B6" s="274"/>
      <c r="C6" s="294"/>
      <c r="D6" s="294"/>
      <c r="E6" s="294"/>
      <c r="F6" s="294"/>
      <c r="G6" s="294"/>
      <c r="H6" s="294"/>
      <c r="I6" s="294"/>
      <c r="J6" s="294"/>
      <c r="K6" s="294"/>
      <c r="L6" s="294"/>
      <c r="M6" s="339"/>
    </row>
    <row r="7" spans="2:13" x14ac:dyDescent="0.25">
      <c r="B7" s="274"/>
      <c r="C7" s="278" t="s">
        <v>5</v>
      </c>
      <c r="D7" s="237" t="str">
        <f>'Survey report'!B6</f>
        <v>JDB/2026-27/PORTAL-254654</v>
      </c>
      <c r="K7" s="295" t="s">
        <v>7</v>
      </c>
      <c r="L7" s="296" t="str">
        <f>'Survey report'!J6</f>
        <v>01/09/2026</v>
      </c>
      <c r="M7" s="339"/>
    </row>
    <row r="8" spans="2:13" x14ac:dyDescent="0.25">
      <c r="B8" s="274"/>
      <c r="C8" s="278"/>
      <c r="K8" s="295"/>
      <c r="L8" s="297"/>
      <c r="M8" s="339"/>
    </row>
    <row r="9" spans="2:13" x14ac:dyDescent="0.25">
      <c r="B9" s="274"/>
      <c r="C9" s="278"/>
      <c r="F9" s="278" t="s">
        <v>153</v>
      </c>
      <c r="K9" s="295"/>
      <c r="L9" s="297"/>
      <c r="M9" s="339"/>
    </row>
    <row r="10" spans="2:13" x14ac:dyDescent="0.25">
      <c r="B10" s="274"/>
      <c r="F10" s="278"/>
      <c r="M10" s="339"/>
    </row>
    <row r="11" spans="2:13" x14ac:dyDescent="0.25">
      <c r="B11" s="298"/>
      <c r="M11" s="339"/>
    </row>
    <row r="12" spans="2:13" x14ac:dyDescent="0.25">
      <c r="B12" s="274"/>
      <c r="C12" s="278" t="s">
        <v>16</v>
      </c>
      <c r="G12" s="237" t="str">
        <f>'Survey report'!F15</f>
        <v>AJAY SINGH</v>
      </c>
      <c r="M12" s="339"/>
    </row>
    <row r="13" spans="2:13" x14ac:dyDescent="0.25">
      <c r="B13" s="274"/>
      <c r="G13" s="299" t="str">
        <f>'Survey report'!F16</f>
        <v>B-27 JAGATPURI KRISHNA NAGAR EAST DELHI 110051</v>
      </c>
      <c r="M13" s="339"/>
    </row>
    <row r="14" spans="2:13" x14ac:dyDescent="0.25">
      <c r="B14" s="298"/>
      <c r="M14" s="339"/>
    </row>
    <row r="15" spans="2:13" x14ac:dyDescent="0.25">
      <c r="B15" s="274"/>
      <c r="C15" s="278" t="s">
        <v>9</v>
      </c>
      <c r="G15" s="300" t="str">
        <f>'Survey report'!F9</f>
        <v>United India Insurance Company Limited</v>
      </c>
      <c r="M15" s="339"/>
    </row>
    <row r="16" spans="2:13" x14ac:dyDescent="0.25">
      <c r="B16" s="274"/>
      <c r="G16" s="300" t="str">
        <f>'Survey report'!F10</f>
        <v>NOT PRINTED</v>
      </c>
      <c r="H16" s="300"/>
      <c r="M16" s="339"/>
    </row>
    <row r="17" spans="2:13" x14ac:dyDescent="0.25">
      <c r="B17" s="274"/>
      <c r="C17" s="237" t="s">
        <v>154</v>
      </c>
      <c r="F17" s="237" t="s">
        <v>155</v>
      </c>
      <c r="G17" s="300">
        <f>'Survey report'!F11</f>
        <v>0</v>
      </c>
      <c r="H17" t="s">
        <v>393</v>
      </c>
      <c r="M17" s="339"/>
    </row>
    <row r="18" spans="2:13" x14ac:dyDescent="0.25">
      <c r="B18" s="274"/>
      <c r="M18" s="339"/>
    </row>
    <row r="19" spans="2:13" x14ac:dyDescent="0.25">
      <c r="B19" s="274"/>
      <c r="C19" s="278" t="s">
        <v>157</v>
      </c>
      <c r="G19" s="301" t="str">
        <f>'Survey report'!F22</f>
        <v>DL3SEK1646</v>
      </c>
      <c r="M19" s="339"/>
    </row>
    <row r="20" spans="2:13" x14ac:dyDescent="0.25">
      <c r="B20" s="274"/>
      <c r="C20" s="237" t="s">
        <v>158</v>
      </c>
      <c r="G20" s="300" t="str">
        <f>'Survey report'!F27</f>
        <v>NINJA ZX-10R</v>
      </c>
      <c r="M20" s="339"/>
    </row>
    <row r="21" spans="2:13" x14ac:dyDescent="0.25">
      <c r="B21" s="302"/>
      <c r="M21" s="339"/>
    </row>
    <row r="22" spans="2:13" x14ac:dyDescent="0.25">
      <c r="B22" s="274"/>
      <c r="C22" s="278" t="s">
        <v>159</v>
      </c>
      <c r="G22" s="301" t="str">
        <f>'Survey report'!F12</f>
        <v>1103003122P113572944</v>
      </c>
      <c r="J22" s="295"/>
      <c r="K22" s="300"/>
      <c r="M22" s="339"/>
    </row>
    <row r="23" spans="2:13" x14ac:dyDescent="0.25">
      <c r="B23" s="274"/>
      <c r="C23" s="303"/>
      <c r="D23" s="293"/>
      <c r="E23" s="293"/>
      <c r="F23" s="293"/>
      <c r="G23" s="304"/>
      <c r="H23" s="305"/>
      <c r="I23" s="306"/>
      <c r="J23" s="293"/>
      <c r="K23" s="293"/>
      <c r="L23" s="293"/>
      <c r="M23" s="339"/>
    </row>
    <row r="24" spans="2:13" x14ac:dyDescent="0.25">
      <c r="B24" s="274"/>
      <c r="C24" s="278"/>
      <c r="G24" s="301"/>
      <c r="H24" s="295"/>
      <c r="I24" s="300"/>
      <c r="M24" s="339"/>
    </row>
    <row r="25" spans="2:13" ht="15.6" x14ac:dyDescent="0.3">
      <c r="B25" s="274"/>
      <c r="C25" s="346" t="s">
        <v>160</v>
      </c>
      <c r="D25" s="238"/>
      <c r="E25" s="238"/>
      <c r="F25" s="238"/>
      <c r="G25" s="258" t="s">
        <v>161</v>
      </c>
      <c r="H25" s="259">
        <f>IF('Survey report'!H272&lt;=20000,850,IF('Survey report'!H272&lt;=50000,1500, IF('Survey report'!H272&lt;100000,1800,IF('Survey report'!H272&lt;=200000,2800,2800+(('Survey report'!H272-200000)*0.7%)))))</f>
        <v>8439.2810320000026</v>
      </c>
      <c r="I25" s="257"/>
      <c r="M25" s="339"/>
    </row>
    <row r="26" spans="2:13" ht="15.6" x14ac:dyDescent="0.3">
      <c r="B26" s="302"/>
      <c r="C26" s="238"/>
      <c r="D26" s="238"/>
      <c r="E26" s="238"/>
      <c r="F26" s="238"/>
      <c r="G26" s="258"/>
      <c r="H26" s="259"/>
      <c r="I26" s="238"/>
      <c r="M26" s="339"/>
    </row>
    <row r="27" spans="2:13" ht="15.6" x14ac:dyDescent="0.3">
      <c r="B27" s="274"/>
      <c r="C27" s="255" t="s">
        <v>162</v>
      </c>
      <c r="D27" s="238"/>
      <c r="E27" s="238"/>
      <c r="F27" s="238"/>
      <c r="G27" s="258" t="s">
        <v>161</v>
      </c>
      <c r="H27" s="259">
        <v>500</v>
      </c>
      <c r="I27" s="238"/>
      <c r="M27" s="339"/>
    </row>
    <row r="28" spans="2:13" ht="15.6" x14ac:dyDescent="0.3">
      <c r="B28" s="302"/>
      <c r="C28" s="238"/>
      <c r="D28" s="238"/>
      <c r="E28" s="238"/>
      <c r="F28" s="238"/>
      <c r="G28" s="258"/>
      <c r="H28" s="259"/>
      <c r="I28" s="238"/>
      <c r="M28" s="339"/>
    </row>
    <row r="29" spans="2:13" ht="15.6" x14ac:dyDescent="0.3">
      <c r="B29" s="274"/>
      <c r="C29" s="255" t="s">
        <v>163</v>
      </c>
      <c r="D29" s="238"/>
      <c r="E29" s="238"/>
      <c r="F29" s="257">
        <v>20</v>
      </c>
      <c r="G29" s="258" t="s">
        <v>161</v>
      </c>
      <c r="H29" s="259">
        <v>200</v>
      </c>
      <c r="I29" s="238"/>
      <c r="M29" s="339"/>
    </row>
    <row r="30" spans="2:13" ht="15.6" x14ac:dyDescent="0.3">
      <c r="B30" s="302"/>
      <c r="C30" s="238"/>
      <c r="D30" s="238"/>
      <c r="E30" s="238"/>
      <c r="F30" s="238"/>
      <c r="G30" s="258"/>
      <c r="H30" s="259"/>
      <c r="I30" s="238"/>
      <c r="M30" s="339"/>
    </row>
    <row r="31" spans="2:13" ht="15.6" x14ac:dyDescent="0.3">
      <c r="B31" s="274"/>
      <c r="C31" s="255" t="s">
        <v>164</v>
      </c>
      <c r="D31" s="238"/>
      <c r="E31" s="238"/>
      <c r="F31" s="238"/>
      <c r="G31" s="258" t="s">
        <v>161</v>
      </c>
      <c r="H31" s="259">
        <v>0</v>
      </c>
      <c r="I31" s="238"/>
      <c r="M31" s="339"/>
    </row>
    <row r="32" spans="2:13" ht="15.6" x14ac:dyDescent="0.3">
      <c r="B32" s="302"/>
      <c r="C32" s="238"/>
      <c r="D32" s="238"/>
      <c r="E32" s="238"/>
      <c r="F32" s="238"/>
      <c r="G32" s="258"/>
      <c r="H32" s="259"/>
      <c r="I32" s="238"/>
      <c r="M32" s="339"/>
    </row>
    <row r="33" spans="2:26" ht="15.6" x14ac:dyDescent="0.3">
      <c r="B33" s="274"/>
      <c r="C33" s="255" t="s">
        <v>165</v>
      </c>
      <c r="D33" s="238"/>
      <c r="E33" s="238"/>
      <c r="F33" s="238"/>
      <c r="G33" s="258" t="s">
        <v>161</v>
      </c>
      <c r="H33" s="259">
        <v>1000</v>
      </c>
      <c r="I33" s="238"/>
      <c r="M33" s="339"/>
    </row>
    <row r="34" spans="2:26" s="307" customFormat="1" ht="15.6" x14ac:dyDescent="0.3">
      <c r="B34" s="274"/>
      <c r="C34" s="253"/>
      <c r="D34" s="260"/>
      <c r="E34" s="260"/>
      <c r="F34" s="260"/>
      <c r="G34" s="261"/>
      <c r="H34" s="262"/>
      <c r="I34" s="260"/>
      <c r="M34" s="340"/>
      <c r="N34"/>
      <c r="O34"/>
      <c r="P34"/>
      <c r="Q34"/>
      <c r="R34"/>
      <c r="S34"/>
      <c r="T34"/>
      <c r="U34"/>
      <c r="V34"/>
      <c r="W34"/>
      <c r="X34"/>
      <c r="Y34"/>
      <c r="Z34"/>
    </row>
    <row r="35" spans="2:26" s="307" customFormat="1" ht="15.6" x14ac:dyDescent="0.3">
      <c r="B35" s="274"/>
      <c r="C35" s="253" t="s">
        <v>166</v>
      </c>
      <c r="D35" s="260"/>
      <c r="E35" s="260"/>
      <c r="F35" s="260"/>
      <c r="G35" s="263" t="s">
        <v>167</v>
      </c>
      <c r="H35" s="264"/>
      <c r="I35" s="260"/>
      <c r="M35" s="340"/>
      <c r="N35"/>
      <c r="O35"/>
      <c r="P35"/>
      <c r="Q35"/>
      <c r="R35"/>
      <c r="S35"/>
      <c r="T35"/>
      <c r="U35"/>
      <c r="V35"/>
      <c r="W35"/>
      <c r="X35"/>
      <c r="Y35"/>
      <c r="Z35"/>
    </row>
    <row r="36" spans="2:26" ht="15.6" x14ac:dyDescent="0.3">
      <c r="B36" s="274"/>
      <c r="C36" s="238"/>
      <c r="D36" s="238"/>
      <c r="E36" s="238"/>
      <c r="F36" s="238"/>
      <c r="G36" s="258"/>
      <c r="H36" s="259"/>
      <c r="I36" s="238"/>
      <c r="M36" s="339"/>
    </row>
    <row r="37" spans="2:26" ht="15.6" x14ac:dyDescent="0.3">
      <c r="B37" s="274"/>
      <c r="C37" s="255" t="s">
        <v>168</v>
      </c>
      <c r="D37" s="255"/>
      <c r="E37" s="255"/>
      <c r="F37" s="265"/>
      <c r="G37" s="266" t="s">
        <v>161</v>
      </c>
      <c r="H37" s="267">
        <f>SUM(H25:H35)</f>
        <v>10139.281032000003</v>
      </c>
      <c r="I37" s="238"/>
      <c r="M37" s="339"/>
    </row>
    <row r="38" spans="2:26" s="307" customFormat="1" ht="15.6" x14ac:dyDescent="0.3">
      <c r="B38" s="274"/>
      <c r="C38" s="253" t="s">
        <v>146</v>
      </c>
      <c r="D38" s="253"/>
      <c r="E38" s="260">
        <v>0</v>
      </c>
      <c r="F38" s="265"/>
      <c r="G38" s="266" t="s">
        <v>167</v>
      </c>
      <c r="H38" s="267">
        <f>(E38*H37)/100</f>
        <v>0</v>
      </c>
      <c r="I38" s="260"/>
      <c r="M38" s="340"/>
      <c r="N38"/>
      <c r="O38"/>
      <c r="P38"/>
      <c r="Q38"/>
      <c r="R38"/>
      <c r="S38"/>
      <c r="T38"/>
      <c r="U38"/>
      <c r="V38"/>
      <c r="W38"/>
      <c r="X38"/>
      <c r="Y38"/>
      <c r="Z38"/>
    </row>
    <row r="39" spans="2:26" s="307" customFormat="1" ht="15.6" x14ac:dyDescent="0.3">
      <c r="B39" s="274"/>
      <c r="C39" s="253" t="s">
        <v>169</v>
      </c>
      <c r="D39" s="253"/>
      <c r="E39" s="260">
        <v>0</v>
      </c>
      <c r="F39" s="265"/>
      <c r="G39" s="266" t="s">
        <v>167</v>
      </c>
      <c r="H39" s="267">
        <f>(E39*H37)/100</f>
        <v>0</v>
      </c>
      <c r="I39" s="260"/>
      <c r="M39" s="340"/>
      <c r="N39"/>
      <c r="O39"/>
      <c r="P39"/>
      <c r="Q39"/>
      <c r="R39"/>
      <c r="S39"/>
      <c r="T39"/>
      <c r="U39"/>
      <c r="V39"/>
      <c r="W39"/>
      <c r="X39"/>
      <c r="Y39"/>
      <c r="Z39"/>
    </row>
    <row r="40" spans="2:26" s="307" customFormat="1" ht="15.6" x14ac:dyDescent="0.3">
      <c r="B40" s="274"/>
      <c r="C40" s="253" t="s">
        <v>142</v>
      </c>
      <c r="D40" s="253"/>
      <c r="E40" s="260">
        <v>18</v>
      </c>
      <c r="F40" s="265"/>
      <c r="G40" s="268" t="s">
        <v>167</v>
      </c>
      <c r="H40" s="269">
        <f>(E40*H37)/100</f>
        <v>1825.0705857600003</v>
      </c>
      <c r="I40" s="260"/>
      <c r="M40" s="340"/>
      <c r="N40"/>
      <c r="O40"/>
      <c r="P40"/>
      <c r="Q40"/>
      <c r="R40"/>
      <c r="S40"/>
      <c r="T40"/>
      <c r="U40"/>
      <c r="V40"/>
      <c r="W40"/>
      <c r="X40"/>
      <c r="Y40"/>
      <c r="Z40"/>
    </row>
    <row r="41" spans="2:26" ht="15.6" x14ac:dyDescent="0.3">
      <c r="B41" s="274"/>
      <c r="C41" s="238"/>
      <c r="D41" s="238"/>
      <c r="E41" s="238"/>
      <c r="F41" s="238"/>
      <c r="G41" s="260"/>
      <c r="H41" s="260"/>
      <c r="I41" s="238"/>
      <c r="M41" s="339"/>
    </row>
    <row r="42" spans="2:26" ht="15.6" x14ac:dyDescent="0.3">
      <c r="B42" s="274"/>
      <c r="C42" s="255" t="s">
        <v>170</v>
      </c>
      <c r="D42" s="238"/>
      <c r="E42" s="238"/>
      <c r="F42" s="238"/>
      <c r="G42" s="238"/>
      <c r="H42" s="270">
        <f>SUM(H37:H40)</f>
        <v>11964.351617760003</v>
      </c>
      <c r="I42" s="238"/>
      <c r="M42" s="339"/>
    </row>
    <row r="43" spans="2:26" x14ac:dyDescent="0.25">
      <c r="B43" s="274"/>
      <c r="M43" s="339"/>
    </row>
    <row r="44" spans="2:26" x14ac:dyDescent="0.25">
      <c r="B44" s="274"/>
      <c r="C44" s="275" t="s">
        <v>171</v>
      </c>
      <c r="D44" s="276"/>
      <c r="E44" s="276"/>
      <c r="F44" s="277"/>
      <c r="J44" s="278" t="str">
        <f>'Survey report'!A1</f>
        <v>Jeewan deep Batta</v>
      </c>
      <c r="M44" s="339"/>
    </row>
    <row r="45" spans="2:26" x14ac:dyDescent="0.25">
      <c r="B45" s="274"/>
      <c r="C45" s="279"/>
      <c r="D45" s="280"/>
      <c r="E45" s="281"/>
      <c r="F45" s="282"/>
      <c r="M45" s="339"/>
    </row>
    <row r="46" spans="2:26" x14ac:dyDescent="0.25">
      <c r="B46" s="274"/>
      <c r="C46" s="283" t="s">
        <v>172</v>
      </c>
      <c r="D46" s="280"/>
      <c r="E46" s="281"/>
      <c r="F46" s="282"/>
      <c r="J46" s="237" t="s">
        <v>0</v>
      </c>
      <c r="M46" s="339"/>
    </row>
    <row r="47" spans="2:26" x14ac:dyDescent="0.25">
      <c r="B47" s="274"/>
      <c r="C47" s="279" t="s">
        <v>173</v>
      </c>
      <c r="D47" s="280"/>
      <c r="E47" s="280" t="s">
        <v>179</v>
      </c>
      <c r="F47" s="284"/>
      <c r="M47" s="339"/>
    </row>
    <row r="48" spans="2:26" x14ac:dyDescent="0.25">
      <c r="B48" s="274"/>
      <c r="C48" s="279" t="s">
        <v>174</v>
      </c>
      <c r="D48" s="280"/>
      <c r="E48" s="428" t="s">
        <v>175</v>
      </c>
      <c r="F48" s="429"/>
      <c r="G48" s="285"/>
      <c r="M48" s="339"/>
    </row>
    <row r="49" spans="2:13" x14ac:dyDescent="0.25">
      <c r="B49" s="274"/>
      <c r="C49" s="279" t="s">
        <v>176</v>
      </c>
      <c r="D49" s="280"/>
      <c r="E49" s="280" t="s">
        <v>394</v>
      </c>
      <c r="F49" s="284"/>
      <c r="M49" s="339"/>
    </row>
    <row r="50" spans="2:13" x14ac:dyDescent="0.25">
      <c r="B50" s="274"/>
      <c r="C50" s="279" t="s">
        <v>177</v>
      </c>
      <c r="D50" s="280"/>
      <c r="E50" s="280" t="s">
        <v>395</v>
      </c>
      <c r="F50" s="282"/>
      <c r="M50" s="339"/>
    </row>
    <row r="51" spans="2:13" x14ac:dyDescent="0.25">
      <c r="B51" s="274"/>
      <c r="C51" s="279" t="s">
        <v>178</v>
      </c>
      <c r="D51" s="280"/>
      <c r="E51" s="280" t="s">
        <v>396</v>
      </c>
      <c r="F51" s="282"/>
      <c r="M51" s="339"/>
    </row>
    <row r="52" spans="2:13" x14ac:dyDescent="0.25">
      <c r="B52" s="274"/>
      <c r="C52" s="286" t="s">
        <v>180</v>
      </c>
      <c r="D52" s="287"/>
      <c r="E52" s="287" t="s">
        <v>179</v>
      </c>
      <c r="F52" s="282"/>
      <c r="M52" s="339"/>
    </row>
    <row r="53" spans="2:13" x14ac:dyDescent="0.25">
      <c r="B53" s="274"/>
      <c r="C53" s="288" t="s">
        <v>155</v>
      </c>
      <c r="D53" s="289"/>
      <c r="E53" s="289" t="s">
        <v>156</v>
      </c>
      <c r="F53" s="290"/>
      <c r="M53" s="339"/>
    </row>
    <row r="54" spans="2:13" ht="20.100000000000001" customHeight="1" x14ac:dyDescent="0.25">
      <c r="B54" s="274"/>
      <c r="M54" s="339"/>
    </row>
    <row r="55" spans="2:13" ht="20.100000000000001" customHeight="1" x14ac:dyDescent="0.25">
      <c r="B55" s="308"/>
      <c r="C55" s="293"/>
      <c r="D55" s="293"/>
      <c r="E55" s="293"/>
      <c r="F55" s="293"/>
      <c r="G55" s="293"/>
      <c r="H55" s="293"/>
      <c r="I55" s="293"/>
      <c r="J55" s="293"/>
      <c r="K55" s="293"/>
      <c r="L55" s="293"/>
      <c r="M55" s="344"/>
    </row>
  </sheetData>
  <mergeCells count="1">
    <mergeCell ref="E48:F48"/>
  </mergeCells>
  <printOptions horizontalCentered="1"/>
  <pageMargins left="0.70866141732283472" right="0.70866141732283472" top="0.35433070866141736" bottom="0.35433070866141736" header="0.31496062992125984" footer="0.31496062992125984"/>
  <pageSetup scale="90"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workbookViewId="0"/>
  </sheetViews>
  <sheetFormatPr defaultColWidth="9.28515625" defaultRowHeight="18" x14ac:dyDescent="0.35"/>
  <cols>
    <col min="1" max="1" width="9.28515625" style="44" customWidth="1"/>
    <col min="2" max="2" width="9.7109375" style="44" customWidth="1"/>
    <col min="3" max="3" width="9.28515625" style="44" customWidth="1"/>
    <col min="4" max="4" width="16" style="44" customWidth="1"/>
    <col min="5" max="5" width="9.28515625" style="44" customWidth="1"/>
    <col min="6" max="6" width="23.85546875" style="44" customWidth="1"/>
    <col min="7" max="7" width="9.28515625" style="44" customWidth="1"/>
    <col min="8" max="8" width="16.28515625" style="44" customWidth="1"/>
    <col min="9" max="9" width="9.28515625" style="44" customWidth="1"/>
    <col min="10" max="10" width="17" style="44" customWidth="1"/>
    <col min="11" max="11" width="11.28515625" style="44" customWidth="1"/>
    <col min="12" max="12" width="9.28515625" style="44" customWidth="1"/>
    <col min="13" max="16384" width="9.28515625" style="44"/>
  </cols>
  <sheetData>
    <row r="1" spans="1:13" ht="19.5" customHeight="1" x14ac:dyDescent="0.35">
      <c r="A1" s="43"/>
      <c r="B1" s="43"/>
      <c r="C1" s="43"/>
      <c r="D1" s="43"/>
      <c r="E1" s="43"/>
      <c r="F1" s="43"/>
      <c r="G1" s="43"/>
      <c r="H1" s="43"/>
      <c r="I1" s="43"/>
      <c r="J1" s="43"/>
      <c r="K1" s="43"/>
    </row>
    <row r="2" spans="1:13" ht="34.5" customHeight="1" x14ac:dyDescent="0.35">
      <c r="A2" s="43"/>
      <c r="B2" s="59" t="str">
        <f>'Survey report'!A1</f>
        <v>Jeewan deep Batta</v>
      </c>
      <c r="C2" s="43"/>
      <c r="D2" s="43"/>
      <c r="E2" s="43"/>
      <c r="F2" s="43"/>
      <c r="G2" s="43"/>
      <c r="H2" s="43"/>
      <c r="I2" s="46" t="str">
        <f>'Survey report'!I1</f>
        <v>17/102,royal estate</v>
      </c>
      <c r="J2" s="43"/>
      <c r="K2" s="43"/>
    </row>
    <row r="3" spans="1:13" ht="19.5" customHeight="1" x14ac:dyDescent="0.35">
      <c r="A3" s="43"/>
      <c r="B3" s="46" t="str">
        <f>'Survey report'!A2</f>
        <v>Surveyor &amp; Loss Assessor</v>
      </c>
      <c r="C3" s="43"/>
      <c r="D3" s="43"/>
      <c r="E3" s="43"/>
      <c r="F3" s="43"/>
      <c r="G3" s="43"/>
      <c r="H3" s="43"/>
      <c r="I3" s="46" t="str">
        <f>'Survey report'!I2</f>
        <v>Zirakpur-140604</v>
      </c>
      <c r="J3" s="43"/>
      <c r="K3" s="43"/>
    </row>
    <row r="4" spans="1:13" ht="19.5" customHeight="1" x14ac:dyDescent="0.35">
      <c r="A4" s="43"/>
      <c r="B4" s="46" t="str">
        <f>'Survey report'!A3</f>
        <v>License No. SLA-7777 Expirey: 26/10/2027</v>
      </c>
      <c r="C4" s="43"/>
      <c r="D4" s="43"/>
      <c r="E4" s="43"/>
      <c r="F4" s="43"/>
      <c r="G4" s="43"/>
      <c r="H4" s="43"/>
      <c r="I4" s="46" t="str">
        <f>'Survey report'!I3</f>
        <v>Mob: 9814035162</v>
      </c>
      <c r="J4" s="43"/>
      <c r="K4" s="43"/>
    </row>
    <row r="5" spans="1:13" ht="19.5" customHeight="1" x14ac:dyDescent="0.35">
      <c r="A5" s="43"/>
      <c r="B5" s="47" t="str">
        <f>'Survey report'!A4</f>
        <v>IISLA No. F/N/05949</v>
      </c>
      <c r="C5" s="48"/>
      <c r="D5" s="48"/>
      <c r="E5" s="48"/>
      <c r="F5" s="48"/>
      <c r="G5" s="48"/>
      <c r="H5" s="48"/>
      <c r="I5" s="47" t="str">
        <f>'Survey report'!I4</f>
        <v>jd.batta8810@gmail.com</v>
      </c>
      <c r="J5" s="48"/>
      <c r="K5" s="48"/>
    </row>
    <row r="6" spans="1:13" ht="19.5" customHeight="1" x14ac:dyDescent="0.35">
      <c r="A6" s="43"/>
      <c r="B6" s="48"/>
      <c r="C6" s="48"/>
      <c r="D6" s="48"/>
      <c r="E6" s="48"/>
      <c r="F6" s="48"/>
      <c r="G6" s="48"/>
      <c r="H6" s="48"/>
      <c r="I6" s="48"/>
      <c r="J6" s="48"/>
      <c r="K6" s="48"/>
    </row>
    <row r="7" spans="1:13" ht="19.5" customHeight="1" x14ac:dyDescent="0.35">
      <c r="A7" s="43"/>
      <c r="B7" s="43"/>
      <c r="C7" s="43"/>
      <c r="D7" s="43"/>
      <c r="E7" s="43"/>
      <c r="F7" s="43"/>
      <c r="G7" s="43"/>
      <c r="H7" s="43"/>
      <c r="I7" s="43"/>
      <c r="J7" s="43"/>
      <c r="K7" s="43"/>
      <c r="M7"/>
    </row>
    <row r="8" spans="1:13" ht="19.5" customHeight="1" x14ac:dyDescent="0.35">
      <c r="A8" s="43"/>
      <c r="B8" s="49" t="s">
        <v>5</v>
      </c>
      <c r="C8" s="50" t="str">
        <f>'Survey report'!B6</f>
        <v>JDB/2026-27/PORTAL-254654</v>
      </c>
      <c r="D8" s="43"/>
      <c r="E8" s="43"/>
      <c r="F8" s="43"/>
      <c r="G8" s="43"/>
      <c r="H8" s="43"/>
      <c r="I8" s="58" t="s">
        <v>7</v>
      </c>
      <c r="J8" s="89" t="str">
        <f>'Survey report'!J6</f>
        <v>01/09/2026</v>
      </c>
      <c r="K8" s="52"/>
    </row>
    <row r="9" spans="1:13" ht="21" customHeight="1" x14ac:dyDescent="0.35">
      <c r="A9" s="43"/>
      <c r="B9" s="49"/>
      <c r="C9" s="50"/>
      <c r="D9" s="43"/>
      <c r="E9" s="43"/>
      <c r="F9" s="88" t="s">
        <v>181</v>
      </c>
      <c r="G9" s="43"/>
      <c r="H9" s="43"/>
      <c r="I9" s="43"/>
      <c r="J9" s="51"/>
      <c r="K9" s="52"/>
      <c r="L9"/>
    </row>
    <row r="10" spans="1:13" ht="19.5" customHeight="1" x14ac:dyDescent="0.35">
      <c r="A10" s="43"/>
      <c r="B10" s="49"/>
      <c r="C10" s="50" t="s">
        <v>182</v>
      </c>
      <c r="D10" s="43"/>
      <c r="E10" s="43"/>
      <c r="F10" s="43"/>
      <c r="G10" s="43"/>
      <c r="H10" s="50" t="str">
        <f>'Survey report'!F15</f>
        <v>AJAY SINGH</v>
      </c>
      <c r="I10" s="43"/>
      <c r="J10" s="51"/>
      <c r="K10" s="52"/>
    </row>
    <row r="11" spans="1:13" ht="19.5" customHeight="1" x14ac:dyDescent="0.35">
      <c r="A11" s="43"/>
      <c r="B11" s="49"/>
      <c r="C11" s="50" t="s">
        <v>183</v>
      </c>
      <c r="D11" s="50"/>
      <c r="E11" s="43"/>
      <c r="F11" s="43"/>
      <c r="G11" s="43"/>
      <c r="H11" s="50" t="str">
        <f>'Survey report'!F12</f>
        <v>1103003122P113572944</v>
      </c>
      <c r="I11" s="50"/>
      <c r="J11" s="51"/>
      <c r="K11" s="52"/>
    </row>
    <row r="12" spans="1:13" ht="19.5" customHeight="1" x14ac:dyDescent="0.35">
      <c r="A12" s="43"/>
      <c r="B12" s="43"/>
      <c r="C12" s="50" t="s">
        <v>184</v>
      </c>
      <c r="D12" s="43"/>
      <c r="E12" s="43"/>
      <c r="F12" s="43"/>
      <c r="G12" s="43"/>
      <c r="H12" s="53">
        <f>'Survey report'!F65</f>
        <v>45043</v>
      </c>
      <c r="I12" s="43"/>
      <c r="J12" s="43"/>
      <c r="K12" s="43"/>
    </row>
    <row r="13" spans="1:13" s="66" customFormat="1" x14ac:dyDescent="0.35">
      <c r="A13" s="63"/>
      <c r="B13" s="63"/>
      <c r="C13" s="64"/>
      <c r="D13" s="63"/>
      <c r="E13" s="63"/>
      <c r="F13" s="63"/>
      <c r="G13" s="63"/>
      <c r="H13" s="65"/>
      <c r="I13" s="63"/>
      <c r="J13" s="63"/>
      <c r="K13" s="63"/>
    </row>
    <row r="14" spans="1:13" s="62" customFormat="1" ht="19.5" customHeight="1" x14ac:dyDescent="0.35">
      <c r="A14" s="60"/>
      <c r="B14" s="61" t="s">
        <v>185</v>
      </c>
      <c r="C14" s="60"/>
      <c r="D14" s="60"/>
      <c r="E14" s="60"/>
      <c r="F14" s="60"/>
      <c r="G14" s="60"/>
      <c r="H14" s="60"/>
      <c r="I14" s="60"/>
      <c r="J14" s="60"/>
      <c r="K14" s="60"/>
    </row>
    <row r="15" spans="1:13" ht="19.5" customHeight="1" x14ac:dyDescent="0.35">
      <c r="A15" s="43"/>
      <c r="B15" s="54"/>
      <c r="C15" s="55"/>
      <c r="D15" s="55"/>
      <c r="E15" s="55"/>
      <c r="F15" s="55"/>
      <c r="G15" s="55"/>
      <c r="H15" s="55"/>
      <c r="I15" s="55"/>
      <c r="J15" s="55"/>
      <c r="K15" s="56"/>
    </row>
    <row r="16" spans="1:13" ht="19.5" customHeight="1" x14ac:dyDescent="0.35">
      <c r="A16" s="43"/>
      <c r="B16" s="54"/>
      <c r="C16" s="55"/>
      <c r="D16" s="55"/>
      <c r="E16" s="55"/>
      <c r="F16" s="55"/>
      <c r="G16" s="55"/>
      <c r="H16" s="55"/>
      <c r="I16" s="55"/>
      <c r="J16" s="55"/>
      <c r="K16" s="56"/>
    </row>
    <row r="17" spans="1:11" ht="177.75" customHeight="1" x14ac:dyDescent="0.35">
      <c r="A17" s="43"/>
      <c r="B17" s="433" t="s">
        <v>186</v>
      </c>
      <c r="C17" s="431"/>
      <c r="D17" s="431"/>
      <c r="E17" s="431"/>
      <c r="F17" s="431"/>
      <c r="G17" s="431"/>
      <c r="H17" s="431"/>
      <c r="I17" s="431"/>
      <c r="J17" s="431"/>
      <c r="K17" s="432"/>
    </row>
    <row r="18" spans="1:11" ht="19.5" customHeight="1" x14ac:dyDescent="0.35">
      <c r="A18" s="43"/>
      <c r="B18" s="43"/>
      <c r="C18" s="43"/>
      <c r="D18" s="43"/>
      <c r="E18" s="43"/>
      <c r="F18" s="43"/>
      <c r="G18" s="43"/>
      <c r="H18" s="43"/>
      <c r="I18" s="43"/>
      <c r="J18" s="43"/>
      <c r="K18" s="43"/>
    </row>
    <row r="19" spans="1:11" ht="19.5" customHeight="1" x14ac:dyDescent="0.35">
      <c r="A19" s="43"/>
      <c r="B19" s="57"/>
      <c r="C19" s="430"/>
      <c r="D19" s="431"/>
      <c r="E19" s="431"/>
      <c r="F19" s="431"/>
      <c r="G19" s="431"/>
      <c r="H19" s="431"/>
      <c r="I19" s="431"/>
      <c r="J19" s="432"/>
      <c r="K19" s="43"/>
    </row>
    <row r="20" spans="1:11" ht="19.5" customHeight="1" x14ac:dyDescent="0.35">
      <c r="A20" s="43"/>
      <c r="B20" s="57"/>
      <c r="C20" s="57"/>
      <c r="D20" s="57"/>
      <c r="E20" s="57"/>
      <c r="F20" s="57"/>
      <c r="G20" s="57"/>
      <c r="H20" s="57"/>
      <c r="I20" s="57"/>
      <c r="J20" s="57"/>
      <c r="K20" s="43"/>
    </row>
    <row r="21" spans="1:11" ht="19.5" customHeight="1" x14ac:dyDescent="0.35">
      <c r="A21" s="43"/>
      <c r="B21" s="430" t="s">
        <v>187</v>
      </c>
      <c r="C21" s="431"/>
      <c r="D21" s="431"/>
      <c r="E21" s="431"/>
      <c r="F21" s="431"/>
      <c r="G21" s="432"/>
      <c r="H21" s="57"/>
      <c r="I21" s="57"/>
      <c r="J21" s="57"/>
      <c r="K21" s="43"/>
    </row>
    <row r="22" spans="1:11" ht="19.5" customHeight="1" x14ac:dyDescent="0.35">
      <c r="A22" s="43"/>
      <c r="B22" s="43"/>
      <c r="C22" s="43"/>
      <c r="D22" s="43"/>
      <c r="E22" s="43"/>
      <c r="F22" s="43"/>
      <c r="G22" s="43"/>
      <c r="H22" s="43"/>
      <c r="I22" s="43"/>
      <c r="J22" s="43"/>
      <c r="K22" s="43"/>
    </row>
    <row r="23" spans="1:11" ht="19.5" customHeight="1" x14ac:dyDescent="0.35">
      <c r="A23" s="43"/>
      <c r="B23" s="45" t="str">
        <f>'Survey report'!A1</f>
        <v>Jeewan deep Batta</v>
      </c>
      <c r="C23" s="43"/>
      <c r="D23" s="43"/>
      <c r="E23" s="43"/>
      <c r="F23" s="43"/>
      <c r="G23" s="43"/>
      <c r="H23" s="43"/>
      <c r="I23" s="43"/>
      <c r="J23" s="43"/>
      <c r="K23" s="43"/>
    </row>
    <row r="24" spans="1:11" ht="19.5" customHeight="1" x14ac:dyDescent="0.35">
      <c r="A24" s="43"/>
      <c r="B24" s="43"/>
      <c r="C24" s="43"/>
      <c r="D24" s="43"/>
      <c r="E24" s="43"/>
      <c r="F24" s="43"/>
      <c r="G24" s="43"/>
      <c r="H24" s="43"/>
      <c r="I24" s="43"/>
      <c r="J24" s="43"/>
      <c r="K24" s="43"/>
    </row>
    <row r="25" spans="1:11" ht="19.5" customHeight="1" x14ac:dyDescent="0.35">
      <c r="A25" s="43"/>
      <c r="B25" s="43"/>
      <c r="C25" s="43"/>
      <c r="D25" s="43"/>
      <c r="E25" s="43"/>
      <c r="F25" s="43"/>
      <c r="G25" s="43"/>
      <c r="H25" s="43"/>
      <c r="I25" s="43"/>
      <c r="J25" s="43"/>
      <c r="K25" s="43"/>
    </row>
    <row r="26" spans="1:11" ht="19.5" customHeight="1" x14ac:dyDescent="0.35">
      <c r="A26" s="43"/>
      <c r="B26" s="43"/>
      <c r="C26" s="43"/>
      <c r="D26" s="43"/>
      <c r="E26" s="43"/>
      <c r="F26" s="43"/>
      <c r="G26" s="43"/>
      <c r="H26" s="43"/>
      <c r="I26" s="43"/>
      <c r="J26" s="43"/>
      <c r="K26" s="43"/>
    </row>
    <row r="27" spans="1:11" ht="19.5" customHeight="1" x14ac:dyDescent="0.35">
      <c r="A27" s="43"/>
      <c r="B27" s="43"/>
      <c r="C27" s="43"/>
      <c r="D27" s="43"/>
      <c r="E27" s="43"/>
      <c r="F27" s="43"/>
      <c r="G27" s="43"/>
      <c r="H27" s="43"/>
      <c r="I27" s="43"/>
      <c r="J27" s="43"/>
      <c r="K27" s="43"/>
    </row>
    <row r="28" spans="1:11" ht="19.5" customHeight="1" x14ac:dyDescent="0.35">
      <c r="A28" s="43"/>
      <c r="B28" s="43"/>
      <c r="C28" s="43"/>
      <c r="D28" s="43"/>
      <c r="E28" s="43"/>
      <c r="F28" s="43"/>
      <c r="G28" s="43"/>
      <c r="H28" s="43"/>
      <c r="I28" s="43"/>
      <c r="J28" s="43"/>
      <c r="K28" s="43"/>
    </row>
    <row r="29" spans="1:11" ht="19.5" customHeight="1" x14ac:dyDescent="0.35">
      <c r="A29" s="43"/>
      <c r="B29" s="43"/>
      <c r="C29" s="43"/>
      <c r="D29" s="43"/>
      <c r="E29" s="43"/>
      <c r="F29" s="43"/>
      <c r="G29" s="43"/>
      <c r="H29" s="43"/>
      <c r="I29" s="43"/>
      <c r="J29" s="43"/>
      <c r="K29" s="43"/>
    </row>
  </sheetData>
  <mergeCells count="3">
    <mergeCell ref="B21:G21"/>
    <mergeCell ref="B17:K17"/>
    <mergeCell ref="C19:J19"/>
  </mergeCells>
  <printOptions horizontalCentered="1"/>
  <pageMargins left="0.51181102362204722" right="0.51181102362204722" top="0.74803149606299213" bottom="0.74803149606299213" header="0.31496062992125984" footer="0.31496062992125984"/>
  <pageSetup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topLeftCell="A19" workbookViewId="0"/>
  </sheetViews>
  <sheetFormatPr defaultRowHeight="12" x14ac:dyDescent="0.25"/>
  <cols>
    <col min="9" max="9" width="14.85546875" customWidth="1"/>
    <col min="10" max="11" width="10.42578125" customWidth="1"/>
  </cols>
  <sheetData>
    <row r="1" spans="1:11" ht="18.75" customHeight="1" x14ac:dyDescent="0.4">
      <c r="B1" s="436" t="str">
        <f>'Survey report'!A1</f>
        <v>Jeewan deep Batta</v>
      </c>
      <c r="C1" s="436"/>
      <c r="D1" s="436"/>
      <c r="I1" s="440" t="str">
        <f>'Survey report'!I1</f>
        <v>17/102,royal estate</v>
      </c>
      <c r="J1" s="440"/>
      <c r="K1" s="440"/>
    </row>
    <row r="2" spans="1:11" ht="15.75" customHeight="1" x14ac:dyDescent="0.25">
      <c r="B2" s="437" t="str">
        <f>'Survey report'!A2</f>
        <v>Surveyor &amp; Loss Assessor</v>
      </c>
      <c r="C2" s="437"/>
      <c r="D2" s="437"/>
      <c r="I2" s="440" t="str">
        <f>'Survey report'!I2</f>
        <v>Zirakpur-140604</v>
      </c>
      <c r="J2" s="440"/>
      <c r="K2" s="440"/>
    </row>
    <row r="3" spans="1:11" ht="15" customHeight="1" x14ac:dyDescent="0.25">
      <c r="B3" s="438" t="str">
        <f>'Survey report'!A3</f>
        <v>License No. SLA-7777 Expirey: 26/10/2027</v>
      </c>
      <c r="C3" s="438"/>
      <c r="D3" s="438"/>
      <c r="E3" s="438"/>
      <c r="I3" s="440" t="str">
        <f>+'Survey report'!I3</f>
        <v>Mob: 9814035162</v>
      </c>
      <c r="J3" s="440"/>
      <c r="K3" s="440"/>
    </row>
    <row r="4" spans="1:11" ht="15" customHeight="1" x14ac:dyDescent="0.25">
      <c r="B4" s="439" t="str">
        <f>'Survey report'!A4</f>
        <v>IISLA No. F/N/05949</v>
      </c>
      <c r="C4" s="439"/>
      <c r="D4" s="439"/>
      <c r="I4" s="440" t="str">
        <f>'Survey report'!I4</f>
        <v>jd.batta8810@gmail.com</v>
      </c>
      <c r="J4" s="440"/>
      <c r="K4" s="440"/>
    </row>
    <row r="5" spans="1:11" x14ac:dyDescent="0.25">
      <c r="A5" s="11"/>
      <c r="B5" s="11"/>
      <c r="C5" s="11"/>
      <c r="D5" s="11"/>
      <c r="E5" s="11"/>
      <c r="F5" s="11"/>
      <c r="G5" s="11"/>
      <c r="H5" s="11"/>
      <c r="I5" s="11"/>
      <c r="J5" s="11"/>
      <c r="K5" s="11"/>
    </row>
    <row r="6" spans="1:11" ht="24" customHeight="1" x14ac:dyDescent="0.25">
      <c r="A6" s="67"/>
      <c r="B6" s="86" t="s">
        <v>5</v>
      </c>
      <c r="C6" s="87" t="s">
        <v>297</v>
      </c>
      <c r="D6" s="87"/>
      <c r="E6" s="67"/>
      <c r="F6" s="442" t="s">
        <v>188</v>
      </c>
      <c r="G6" s="442"/>
      <c r="H6" s="442"/>
      <c r="I6" s="90"/>
      <c r="J6" s="90" t="str">
        <f>'Survey report'!J6</f>
        <v>01/09/2026</v>
      </c>
    </row>
    <row r="7" spans="1:11" ht="20.25" customHeight="1" x14ac:dyDescent="0.25">
      <c r="A7" s="67"/>
      <c r="B7" s="441" t="s">
        <v>189</v>
      </c>
      <c r="C7" s="441"/>
      <c r="D7" s="441"/>
      <c r="E7" s="441"/>
      <c r="F7" s="441"/>
      <c r="G7" s="441"/>
      <c r="H7" s="441"/>
      <c r="I7" s="441"/>
      <c r="J7" s="441"/>
      <c r="K7" s="441"/>
    </row>
    <row r="8" spans="1:11" ht="15.75" customHeight="1" x14ac:dyDescent="0.25">
      <c r="A8" s="67"/>
      <c r="B8" s="441"/>
      <c r="C8" s="441"/>
      <c r="D8" s="441"/>
      <c r="E8" s="441"/>
      <c r="F8" s="441"/>
      <c r="G8" s="441"/>
      <c r="H8" s="441"/>
      <c r="I8" s="441"/>
      <c r="J8" s="441"/>
      <c r="K8" s="441"/>
    </row>
    <row r="9" spans="1:11" x14ac:dyDescent="0.25">
      <c r="A9" s="67"/>
      <c r="B9" s="441"/>
      <c r="C9" s="441"/>
      <c r="D9" s="441"/>
      <c r="E9" s="441"/>
      <c r="F9" s="441"/>
      <c r="G9" s="441"/>
      <c r="H9" s="441"/>
      <c r="I9" s="441"/>
      <c r="J9" s="441"/>
      <c r="K9" s="441"/>
    </row>
    <row r="10" spans="1:11" x14ac:dyDescent="0.25">
      <c r="A10" s="67"/>
      <c r="B10" s="441"/>
      <c r="C10" s="441"/>
      <c r="D10" s="441"/>
      <c r="E10" s="441"/>
      <c r="F10" s="441"/>
      <c r="G10" s="441"/>
      <c r="H10" s="441"/>
      <c r="I10" s="441"/>
      <c r="J10" s="441"/>
      <c r="K10" s="441"/>
    </row>
    <row r="11" spans="1:11" x14ac:dyDescent="0.25">
      <c r="A11" s="67"/>
      <c r="B11" s="441"/>
      <c r="C11" s="441"/>
      <c r="D11" s="441"/>
      <c r="E11" s="441"/>
      <c r="F11" s="441"/>
      <c r="G11" s="441"/>
      <c r="H11" s="441"/>
      <c r="I11" s="441"/>
      <c r="J11" s="441"/>
      <c r="K11" s="441"/>
    </row>
    <row r="12" spans="1:11" x14ac:dyDescent="0.25">
      <c r="A12" s="67"/>
      <c r="B12" s="441"/>
      <c r="C12" s="441"/>
      <c r="D12" s="441"/>
      <c r="E12" s="441"/>
      <c r="F12" s="441"/>
      <c r="G12" s="441"/>
      <c r="H12" s="441"/>
      <c r="I12" s="441"/>
      <c r="J12" s="441"/>
      <c r="K12" s="441"/>
    </row>
    <row r="13" spans="1:11" x14ac:dyDescent="0.25">
      <c r="A13" s="67"/>
      <c r="B13" s="441"/>
      <c r="C13" s="441"/>
      <c r="D13" s="441"/>
      <c r="E13" s="441"/>
      <c r="F13" s="441"/>
      <c r="G13" s="441"/>
      <c r="H13" s="441"/>
      <c r="I13" s="441"/>
      <c r="J13" s="441"/>
      <c r="K13" s="441"/>
    </row>
    <row r="14" spans="1:11" x14ac:dyDescent="0.25">
      <c r="A14" s="67"/>
      <c r="B14" s="67"/>
      <c r="C14" s="67"/>
      <c r="D14" s="67"/>
      <c r="E14" s="67"/>
      <c r="F14" s="67"/>
      <c r="G14" s="67"/>
      <c r="H14" s="67"/>
      <c r="I14" s="67"/>
      <c r="J14" s="67"/>
      <c r="K14" s="67"/>
    </row>
    <row r="15" spans="1:11" ht="15" customHeight="1" x14ac:dyDescent="0.25">
      <c r="A15" s="1"/>
      <c r="B15" s="2" t="s">
        <v>190</v>
      </c>
      <c r="C15" s="3"/>
      <c r="D15" s="3"/>
      <c r="E15" s="3"/>
      <c r="F15" s="3"/>
      <c r="G15" s="3"/>
      <c r="H15" s="72"/>
      <c r="I15" s="68"/>
    </row>
    <row r="16" spans="1:11" ht="15" customHeight="1" x14ac:dyDescent="0.25">
      <c r="A16" s="1"/>
      <c r="B16" s="2" t="s">
        <v>191</v>
      </c>
      <c r="C16" s="3"/>
      <c r="D16" s="3"/>
      <c r="E16" s="3"/>
      <c r="F16" s="3"/>
      <c r="G16" s="3"/>
      <c r="H16" s="72" t="s">
        <v>192</v>
      </c>
      <c r="I16" s="68">
        <f>'Survey report'!J272</f>
        <v>100114296.3537</v>
      </c>
    </row>
    <row r="17" spans="1:9" s="67" customFormat="1" ht="15" customHeight="1" x14ac:dyDescent="0.25">
      <c r="A17" s="1"/>
      <c r="B17" s="2" t="s">
        <v>193</v>
      </c>
      <c r="C17" s="3"/>
      <c r="D17" s="3"/>
      <c r="E17" s="3"/>
      <c r="F17" s="3"/>
      <c r="G17" s="3"/>
      <c r="H17" s="72" t="s">
        <v>194</v>
      </c>
      <c r="I17" s="68">
        <f>(I16*10)/100</f>
        <v>10011429.635369999</v>
      </c>
    </row>
    <row r="18" spans="1:9" s="67" customFormat="1" ht="15" customHeight="1" x14ac:dyDescent="0.25">
      <c r="A18" s="1"/>
      <c r="B18" s="2" t="s">
        <v>195</v>
      </c>
      <c r="C18" s="3"/>
      <c r="D18" s="3"/>
      <c r="E18" s="3"/>
      <c r="F18" s="3"/>
      <c r="G18" s="3"/>
      <c r="H18" s="72" t="s">
        <v>192</v>
      </c>
      <c r="I18" s="68">
        <f>I16+I17</f>
        <v>110125725.98907</v>
      </c>
    </row>
    <row r="19" spans="1:9" ht="15" customHeight="1" x14ac:dyDescent="0.25">
      <c r="A19" s="7"/>
      <c r="B19" s="5"/>
      <c r="C19" s="5"/>
      <c r="D19" s="5"/>
      <c r="E19" s="5"/>
      <c r="F19" s="67"/>
      <c r="G19" s="67"/>
      <c r="H19" s="72"/>
      <c r="I19" s="8"/>
    </row>
    <row r="20" spans="1:9" ht="15" customHeight="1" x14ac:dyDescent="0.25">
      <c r="A20" s="1"/>
      <c r="B20" s="2" t="s">
        <v>196</v>
      </c>
      <c r="C20" s="9"/>
      <c r="D20" s="9"/>
      <c r="E20" s="9"/>
      <c r="F20" s="9"/>
      <c r="G20" s="9"/>
      <c r="H20" s="72"/>
      <c r="I20" s="9"/>
    </row>
    <row r="21" spans="1:9" ht="15" customHeight="1" x14ac:dyDescent="0.25">
      <c r="A21" s="73">
        <v>1</v>
      </c>
      <c r="B21" s="74" t="s">
        <v>197</v>
      </c>
      <c r="C21" s="74"/>
      <c r="D21" s="74"/>
      <c r="E21" s="74"/>
      <c r="F21" s="74"/>
      <c r="G21" s="74"/>
      <c r="H21" s="71" t="s">
        <v>192</v>
      </c>
      <c r="I21" s="75" t="s">
        <v>179</v>
      </c>
    </row>
    <row r="22" spans="1:9" ht="15" customHeight="1" x14ac:dyDescent="0.25">
      <c r="A22" s="73">
        <v>2</v>
      </c>
      <c r="B22" s="76" t="s">
        <v>198</v>
      </c>
      <c r="C22" s="74"/>
      <c r="D22" s="74"/>
      <c r="E22" s="74"/>
      <c r="F22" s="74"/>
      <c r="G22" s="74"/>
      <c r="H22" s="71" t="s">
        <v>192</v>
      </c>
      <c r="I22" s="75" t="str">
        <f>I21</f>
        <v>NA</v>
      </c>
    </row>
    <row r="23" spans="1:9" ht="15" customHeight="1" x14ac:dyDescent="0.25">
      <c r="A23" s="73">
        <v>3</v>
      </c>
      <c r="B23" s="74" t="s">
        <v>199</v>
      </c>
      <c r="C23" s="74"/>
      <c r="D23" s="74"/>
      <c r="E23" s="74"/>
      <c r="F23" s="74"/>
      <c r="G23" s="74"/>
      <c r="H23" s="71" t="s">
        <v>192</v>
      </c>
      <c r="I23" s="312"/>
    </row>
    <row r="24" spans="1:9" ht="15" customHeight="1" x14ac:dyDescent="0.25">
      <c r="A24" s="73">
        <v>4</v>
      </c>
      <c r="B24" s="76" t="s">
        <v>200</v>
      </c>
      <c r="C24" s="74"/>
      <c r="D24" s="74"/>
      <c r="E24" s="74"/>
      <c r="F24" s="74"/>
      <c r="G24" s="74"/>
      <c r="H24" s="71" t="s">
        <v>192</v>
      </c>
      <c r="I24" s="77" t="e">
        <f>I21-I23</f>
        <v>#VALUE!</v>
      </c>
    </row>
    <row r="25" spans="1:9" ht="15" customHeight="1" x14ac:dyDescent="0.25">
      <c r="A25" s="1"/>
      <c r="B25" s="13"/>
      <c r="C25" s="67"/>
      <c r="D25" s="67"/>
      <c r="E25" s="67"/>
      <c r="F25" s="67"/>
      <c r="G25" s="67"/>
      <c r="H25" s="72"/>
      <c r="I25" s="6"/>
    </row>
    <row r="26" spans="1:9" ht="15" customHeight="1" x14ac:dyDescent="0.25">
      <c r="A26" s="1"/>
      <c r="B26" s="2" t="s">
        <v>201</v>
      </c>
      <c r="C26" s="9"/>
      <c r="D26" s="9"/>
      <c r="E26" s="9"/>
      <c r="F26" s="9"/>
      <c r="G26" s="9"/>
      <c r="H26" s="72"/>
      <c r="I26" s="9"/>
    </row>
    <row r="27" spans="1:9" ht="15.75" customHeight="1" x14ac:dyDescent="0.3">
      <c r="A27" s="78">
        <v>1</v>
      </c>
      <c r="B27" s="79" t="s">
        <v>202</v>
      </c>
      <c r="C27" s="79"/>
      <c r="D27" s="79"/>
      <c r="E27" s="79"/>
      <c r="F27" s="79"/>
      <c r="G27" s="79"/>
      <c r="H27" s="80" t="s">
        <v>192</v>
      </c>
      <c r="I27" s="81" t="str">
        <f>I21</f>
        <v>NA</v>
      </c>
    </row>
    <row r="28" spans="1:9" ht="15.75" customHeight="1" x14ac:dyDescent="0.3">
      <c r="A28" s="78">
        <v>2</v>
      </c>
      <c r="B28" s="79" t="s">
        <v>199</v>
      </c>
      <c r="C28" s="79"/>
      <c r="D28" s="79"/>
      <c r="E28" s="79"/>
      <c r="F28" s="79"/>
      <c r="G28" s="79"/>
      <c r="H28" s="80" t="s">
        <v>192</v>
      </c>
      <c r="I28" s="81"/>
    </row>
    <row r="29" spans="1:9" ht="15.75" customHeight="1" x14ac:dyDescent="0.3">
      <c r="A29" s="78">
        <v>3</v>
      </c>
      <c r="B29" s="82" t="s">
        <v>203</v>
      </c>
      <c r="C29" s="79"/>
      <c r="D29" s="79"/>
      <c r="E29" s="79"/>
      <c r="F29" s="79"/>
      <c r="G29" s="79"/>
      <c r="H29" s="80" t="s">
        <v>192</v>
      </c>
      <c r="I29" s="81" t="e">
        <f>I27-I28</f>
        <v>#VALUE!</v>
      </c>
    </row>
    <row r="30" spans="1:9" ht="15.75" customHeight="1" x14ac:dyDescent="0.3">
      <c r="A30" s="78">
        <v>4</v>
      </c>
      <c r="B30" s="82" t="s">
        <v>200</v>
      </c>
      <c r="C30" s="79"/>
      <c r="D30" s="79"/>
      <c r="E30" s="79"/>
      <c r="F30" s="79"/>
      <c r="G30" s="79"/>
      <c r="H30" s="80" t="s">
        <v>192</v>
      </c>
      <c r="I30" s="83" t="e">
        <f>I29</f>
        <v>#VALUE!</v>
      </c>
    </row>
    <row r="31" spans="1:9" ht="15" customHeight="1" x14ac:dyDescent="0.25">
      <c r="A31" s="7"/>
      <c r="B31" s="13"/>
      <c r="C31" s="67"/>
      <c r="D31" s="67"/>
      <c r="E31" s="67"/>
      <c r="F31" s="67"/>
      <c r="G31" s="67"/>
      <c r="H31" s="72"/>
      <c r="I31" s="4"/>
    </row>
    <row r="32" spans="1:9" ht="15" customHeight="1" x14ac:dyDescent="0.25">
      <c r="A32" s="1"/>
      <c r="B32" s="2" t="s">
        <v>204</v>
      </c>
      <c r="C32" s="9"/>
      <c r="D32" s="9"/>
      <c r="E32" s="9"/>
      <c r="F32" s="9"/>
      <c r="G32" s="9"/>
      <c r="H32" s="72"/>
      <c r="I32" s="9"/>
    </row>
    <row r="33" spans="1:11" ht="15.75" customHeight="1" x14ac:dyDescent="0.3">
      <c r="A33" s="78">
        <v>1</v>
      </c>
      <c r="B33" s="79" t="s">
        <v>205</v>
      </c>
      <c r="C33" s="79"/>
      <c r="D33" s="79"/>
      <c r="E33" s="79"/>
      <c r="F33" s="79"/>
      <c r="G33" s="79"/>
      <c r="H33" s="80" t="s">
        <v>192</v>
      </c>
      <c r="I33" s="81">
        <f>I16</f>
        <v>100114296.3537</v>
      </c>
    </row>
    <row r="34" spans="1:11" ht="15.75" customHeight="1" x14ac:dyDescent="0.3">
      <c r="A34" s="78">
        <v>2</v>
      </c>
      <c r="B34" s="79" t="s">
        <v>206</v>
      </c>
      <c r="C34" s="79"/>
      <c r="D34" s="79"/>
      <c r="E34" s="79"/>
      <c r="F34" s="79"/>
      <c r="G34" s="79"/>
      <c r="H34" s="80" t="s">
        <v>192</v>
      </c>
      <c r="I34" s="81">
        <f>I16*18/100</f>
        <v>18020573.343666002</v>
      </c>
    </row>
    <row r="35" spans="1:11" ht="15.75" customHeight="1" x14ac:dyDescent="0.3">
      <c r="A35" s="78">
        <v>3</v>
      </c>
      <c r="B35" s="79" t="s">
        <v>207</v>
      </c>
      <c r="C35" s="79"/>
      <c r="D35" s="79"/>
      <c r="E35" s="79"/>
      <c r="F35" s="79"/>
      <c r="G35" s="79"/>
      <c r="H35" s="80" t="s">
        <v>192</v>
      </c>
      <c r="I35" s="81">
        <f>I33-I34</f>
        <v>82093723.010033995</v>
      </c>
      <c r="K35" s="10"/>
    </row>
    <row r="36" spans="1:11" ht="15.75" customHeight="1" x14ac:dyDescent="0.3">
      <c r="A36" s="78">
        <v>6</v>
      </c>
      <c r="B36" s="79" t="s">
        <v>208</v>
      </c>
      <c r="C36" s="79"/>
      <c r="D36" s="79"/>
      <c r="E36" s="79"/>
      <c r="F36" s="79"/>
      <c r="G36" s="79"/>
      <c r="H36" s="80" t="s">
        <v>192</v>
      </c>
      <c r="I36" s="81">
        <f>I35*15/100</f>
        <v>12314058.451505098</v>
      </c>
    </row>
    <row r="37" spans="1:11" ht="15.75" customHeight="1" x14ac:dyDescent="0.3">
      <c r="A37" s="78">
        <v>7</v>
      </c>
      <c r="B37" s="84" t="s">
        <v>207</v>
      </c>
      <c r="C37" s="79"/>
      <c r="D37" s="79"/>
      <c r="E37" s="79"/>
      <c r="F37" s="79"/>
      <c r="G37" s="79"/>
      <c r="H37" s="80" t="s">
        <v>192</v>
      </c>
      <c r="I37" s="85">
        <f>I35-I36</f>
        <v>69779664.5585289</v>
      </c>
    </row>
    <row r="38" spans="1:11" ht="14.25" customHeight="1" x14ac:dyDescent="0.25">
      <c r="A38" s="7"/>
      <c r="B38" s="13"/>
      <c r="C38" s="67"/>
      <c r="D38" s="67"/>
      <c r="E38" s="67"/>
      <c r="F38" s="67"/>
      <c r="G38" s="67"/>
      <c r="H38" s="69"/>
      <c r="I38" s="70"/>
    </row>
    <row r="39" spans="1:11" ht="12.75" customHeight="1" x14ac:dyDescent="0.25">
      <c r="A39" s="7"/>
      <c r="B39" s="12"/>
      <c r="C39" s="12"/>
      <c r="D39" s="12"/>
      <c r="E39" s="12"/>
      <c r="F39" s="12"/>
      <c r="G39" s="12"/>
      <c r="H39" s="12"/>
      <c r="I39" s="67"/>
    </row>
    <row r="40" spans="1:11" ht="14.25" customHeight="1" x14ac:dyDescent="0.25">
      <c r="A40" s="434" t="s">
        <v>209</v>
      </c>
      <c r="B40" s="435"/>
      <c r="C40" s="435"/>
      <c r="D40" s="435"/>
      <c r="E40" s="435"/>
      <c r="F40" s="435"/>
      <c r="G40" s="435"/>
      <c r="H40" s="435"/>
      <c r="I40" s="435"/>
      <c r="J40" s="435"/>
    </row>
    <row r="41" spans="1:11" ht="14.25" customHeight="1" x14ac:dyDescent="0.25">
      <c r="A41" s="435"/>
      <c r="B41" s="435"/>
      <c r="C41" s="435"/>
      <c r="D41" s="435"/>
      <c r="E41" s="435"/>
      <c r="F41" s="435"/>
      <c r="G41" s="435"/>
      <c r="H41" s="435"/>
      <c r="I41" s="435"/>
      <c r="J41" s="435"/>
    </row>
    <row r="42" spans="1:11" ht="12" customHeight="1" x14ac:dyDescent="0.25">
      <c r="A42" s="435"/>
      <c r="B42" s="435"/>
      <c r="C42" s="435"/>
      <c r="D42" s="435"/>
      <c r="E42" s="435"/>
      <c r="F42" s="435"/>
      <c r="G42" s="435"/>
      <c r="H42" s="435"/>
      <c r="I42" s="435"/>
      <c r="J42" s="435"/>
    </row>
    <row r="43" spans="1:11" ht="12" customHeight="1" x14ac:dyDescent="0.25">
      <c r="A43" s="435"/>
      <c r="B43" s="435"/>
      <c r="C43" s="435"/>
      <c r="D43" s="435"/>
      <c r="E43" s="435"/>
      <c r="F43" s="435"/>
      <c r="G43" s="435"/>
      <c r="H43" s="435"/>
      <c r="I43" s="435"/>
      <c r="J43" s="435"/>
    </row>
    <row r="44" spans="1:11" ht="12" customHeight="1" x14ac:dyDescent="0.25">
      <c r="A44" s="13"/>
      <c r="B44" s="13"/>
      <c r="C44" s="13"/>
      <c r="D44" s="13"/>
      <c r="E44" s="13"/>
      <c r="F44" s="13"/>
      <c r="G44" s="13"/>
      <c r="H44" s="13"/>
      <c r="I44" s="13"/>
      <c r="J44" s="13"/>
    </row>
    <row r="45" spans="1:11" ht="12" customHeight="1" x14ac:dyDescent="0.25">
      <c r="B45" s="13"/>
      <c r="C45" s="13"/>
      <c r="D45" s="13"/>
      <c r="E45" s="13"/>
      <c r="F45" s="13"/>
      <c r="G45" s="13"/>
      <c r="H45" s="13"/>
      <c r="I45" s="13" t="str">
        <f>'Survey report'!A1</f>
        <v>Jeewan deep Batta</v>
      </c>
      <c r="J45" s="13"/>
    </row>
    <row r="46" spans="1:11" ht="12" customHeight="1" x14ac:dyDescent="0.25">
      <c r="B46" s="13"/>
      <c r="C46" s="13"/>
      <c r="D46" s="13"/>
      <c r="E46" s="13"/>
      <c r="F46" s="13"/>
      <c r="G46" s="13"/>
      <c r="H46" s="13"/>
      <c r="I46" s="13"/>
      <c r="J46" s="13"/>
    </row>
    <row r="47" spans="1:11" x14ac:dyDescent="0.25">
      <c r="I47" t="str">
        <f>'Survey report'!A2</f>
        <v>Surveyor &amp; Loss Assessor</v>
      </c>
    </row>
  </sheetData>
  <mergeCells count="11">
    <mergeCell ref="A40:J43"/>
    <mergeCell ref="B1:D1"/>
    <mergeCell ref="B2:D2"/>
    <mergeCell ref="B3:E3"/>
    <mergeCell ref="B4:D4"/>
    <mergeCell ref="I1:K1"/>
    <mergeCell ref="I2:K2"/>
    <mergeCell ref="I3:K3"/>
    <mergeCell ref="I4:K4"/>
    <mergeCell ref="B7:K13"/>
    <mergeCell ref="F6:H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5"/>
  <sheetViews>
    <sheetView workbookViewId="0">
      <selection activeCell="N18" sqref="N18"/>
    </sheetView>
  </sheetViews>
  <sheetFormatPr defaultRowHeight="13.2" x14ac:dyDescent="0.25"/>
  <cols>
    <col min="1" max="1" width="6.7109375" style="14" customWidth="1"/>
    <col min="2" max="7" width="9.28515625" style="14" customWidth="1"/>
    <col min="8" max="8" width="11.85546875" style="14" customWidth="1"/>
    <col min="9" max="256" width="9.28515625" style="14" customWidth="1"/>
    <col min="257" max="257" width="6.7109375" style="14" customWidth="1"/>
    <col min="258" max="263" width="9.28515625" style="14" customWidth="1"/>
    <col min="264" max="264" width="11.85546875" style="14" customWidth="1"/>
    <col min="265" max="512" width="9.28515625" style="14" customWidth="1"/>
    <col min="513" max="513" width="6.7109375" style="14" customWidth="1"/>
    <col min="514" max="519" width="9.28515625" style="14" customWidth="1"/>
    <col min="520" max="520" width="11.85546875" style="14" customWidth="1"/>
    <col min="521" max="768" width="9.28515625" style="14" customWidth="1"/>
    <col min="769" max="769" width="6.7109375" style="14" customWidth="1"/>
    <col min="770" max="775" width="9.28515625" style="14" customWidth="1"/>
    <col min="776" max="776" width="11.85546875" style="14" customWidth="1"/>
    <col min="777" max="1024" width="9.28515625" style="14" customWidth="1"/>
    <col min="1025" max="1025" width="6.7109375" style="14" customWidth="1"/>
    <col min="1026" max="1031" width="9.28515625" style="14" customWidth="1"/>
    <col min="1032" max="1032" width="11.85546875" style="14" customWidth="1"/>
    <col min="1033" max="1280" width="9.28515625" style="14" customWidth="1"/>
    <col min="1281" max="1281" width="6.7109375" style="14" customWidth="1"/>
    <col min="1282" max="1287" width="9.28515625" style="14" customWidth="1"/>
    <col min="1288" max="1288" width="11.85546875" style="14" customWidth="1"/>
    <col min="1289" max="1536" width="9.28515625" style="14" customWidth="1"/>
    <col min="1537" max="1537" width="6.7109375" style="14" customWidth="1"/>
    <col min="1538" max="1543" width="9.28515625" style="14" customWidth="1"/>
    <col min="1544" max="1544" width="11.85546875" style="14" customWidth="1"/>
    <col min="1545" max="1792" width="9.28515625" style="14" customWidth="1"/>
    <col min="1793" max="1793" width="6.7109375" style="14" customWidth="1"/>
    <col min="1794" max="1799" width="9.28515625" style="14" customWidth="1"/>
    <col min="1800" max="1800" width="11.85546875" style="14" customWidth="1"/>
    <col min="1801" max="2048" width="9.28515625" style="14" customWidth="1"/>
    <col min="2049" max="2049" width="6.7109375" style="14" customWidth="1"/>
    <col min="2050" max="2055" width="9.28515625" style="14" customWidth="1"/>
    <col min="2056" max="2056" width="11.85546875" style="14" customWidth="1"/>
    <col min="2057" max="2304" width="9.28515625" style="14" customWidth="1"/>
    <col min="2305" max="2305" width="6.7109375" style="14" customWidth="1"/>
    <col min="2306" max="2311" width="9.28515625" style="14" customWidth="1"/>
    <col min="2312" max="2312" width="11.85546875" style="14" customWidth="1"/>
    <col min="2313" max="2560" width="9.28515625" style="14" customWidth="1"/>
    <col min="2561" max="2561" width="6.7109375" style="14" customWidth="1"/>
    <col min="2562" max="2567" width="9.28515625" style="14" customWidth="1"/>
    <col min="2568" max="2568" width="11.85546875" style="14" customWidth="1"/>
    <col min="2569" max="2816" width="9.28515625" style="14" customWidth="1"/>
    <col min="2817" max="2817" width="6.7109375" style="14" customWidth="1"/>
    <col min="2818" max="2823" width="9.28515625" style="14" customWidth="1"/>
    <col min="2824" max="2824" width="11.85546875" style="14" customWidth="1"/>
    <col min="2825" max="3072" width="9.28515625" style="14" customWidth="1"/>
    <col min="3073" max="3073" width="6.7109375" style="14" customWidth="1"/>
    <col min="3074" max="3079" width="9.28515625" style="14" customWidth="1"/>
    <col min="3080" max="3080" width="11.85546875" style="14" customWidth="1"/>
    <col min="3081" max="3328" width="9.28515625" style="14" customWidth="1"/>
    <col min="3329" max="3329" width="6.7109375" style="14" customWidth="1"/>
    <col min="3330" max="3335" width="9.28515625" style="14" customWidth="1"/>
    <col min="3336" max="3336" width="11.85546875" style="14" customWidth="1"/>
    <col min="3337" max="3584" width="9.28515625" style="14" customWidth="1"/>
    <col min="3585" max="3585" width="6.7109375" style="14" customWidth="1"/>
    <col min="3586" max="3591" width="9.28515625" style="14" customWidth="1"/>
    <col min="3592" max="3592" width="11.85546875" style="14" customWidth="1"/>
    <col min="3593" max="3840" width="9.28515625" style="14" customWidth="1"/>
    <col min="3841" max="3841" width="6.7109375" style="14" customWidth="1"/>
    <col min="3842" max="3847" width="9.28515625" style="14" customWidth="1"/>
    <col min="3848" max="3848" width="11.85546875" style="14" customWidth="1"/>
    <col min="3849" max="4096" width="9.28515625" style="14" customWidth="1"/>
    <col min="4097" max="4097" width="6.7109375" style="14" customWidth="1"/>
    <col min="4098" max="4103" width="9.28515625" style="14" customWidth="1"/>
    <col min="4104" max="4104" width="11.85546875" style="14" customWidth="1"/>
    <col min="4105" max="4352" width="9.28515625" style="14" customWidth="1"/>
    <col min="4353" max="4353" width="6.7109375" style="14" customWidth="1"/>
    <col min="4354" max="4359" width="9.28515625" style="14" customWidth="1"/>
    <col min="4360" max="4360" width="11.85546875" style="14" customWidth="1"/>
    <col min="4361" max="4608" width="9.28515625" style="14" customWidth="1"/>
    <col min="4609" max="4609" width="6.7109375" style="14" customWidth="1"/>
    <col min="4610" max="4615" width="9.28515625" style="14" customWidth="1"/>
    <col min="4616" max="4616" width="11.85546875" style="14" customWidth="1"/>
    <col min="4617" max="4864" width="9.28515625" style="14" customWidth="1"/>
    <col min="4865" max="4865" width="6.7109375" style="14" customWidth="1"/>
    <col min="4866" max="4871" width="9.28515625" style="14" customWidth="1"/>
    <col min="4872" max="4872" width="11.85546875" style="14" customWidth="1"/>
    <col min="4873" max="5120" width="9.28515625" style="14" customWidth="1"/>
    <col min="5121" max="5121" width="6.7109375" style="14" customWidth="1"/>
    <col min="5122" max="5127" width="9.28515625" style="14" customWidth="1"/>
    <col min="5128" max="5128" width="11.85546875" style="14" customWidth="1"/>
    <col min="5129" max="5376" width="9.28515625" style="14" customWidth="1"/>
    <col min="5377" max="5377" width="6.7109375" style="14" customWidth="1"/>
    <col min="5378" max="5383" width="9.28515625" style="14" customWidth="1"/>
    <col min="5384" max="5384" width="11.85546875" style="14" customWidth="1"/>
    <col min="5385" max="5632" width="9.28515625" style="14" customWidth="1"/>
    <col min="5633" max="5633" width="6.7109375" style="14" customWidth="1"/>
    <col min="5634" max="5639" width="9.28515625" style="14" customWidth="1"/>
    <col min="5640" max="5640" width="11.85546875" style="14" customWidth="1"/>
    <col min="5641" max="5888" width="9.28515625" style="14" customWidth="1"/>
    <col min="5889" max="5889" width="6.7109375" style="14" customWidth="1"/>
    <col min="5890" max="5895" width="9.28515625" style="14" customWidth="1"/>
    <col min="5896" max="5896" width="11.85546875" style="14" customWidth="1"/>
    <col min="5897" max="6144" width="9.28515625" style="14" customWidth="1"/>
    <col min="6145" max="6145" width="6.7109375" style="14" customWidth="1"/>
    <col min="6146" max="6151" width="9.28515625" style="14" customWidth="1"/>
    <col min="6152" max="6152" width="11.85546875" style="14" customWidth="1"/>
    <col min="6153" max="6400" width="9.28515625" style="14" customWidth="1"/>
    <col min="6401" max="6401" width="6.7109375" style="14" customWidth="1"/>
    <col min="6402" max="6407" width="9.28515625" style="14" customWidth="1"/>
    <col min="6408" max="6408" width="11.85546875" style="14" customWidth="1"/>
    <col min="6409" max="6656" width="9.28515625" style="14" customWidth="1"/>
    <col min="6657" max="6657" width="6.7109375" style="14" customWidth="1"/>
    <col min="6658" max="6663" width="9.28515625" style="14" customWidth="1"/>
    <col min="6664" max="6664" width="11.85546875" style="14" customWidth="1"/>
    <col min="6665" max="6912" width="9.28515625" style="14" customWidth="1"/>
    <col min="6913" max="6913" width="6.7109375" style="14" customWidth="1"/>
    <col min="6914" max="6919" width="9.28515625" style="14" customWidth="1"/>
    <col min="6920" max="6920" width="11.85546875" style="14" customWidth="1"/>
    <col min="6921" max="7168" width="9.28515625" style="14" customWidth="1"/>
    <col min="7169" max="7169" width="6.7109375" style="14" customWidth="1"/>
    <col min="7170" max="7175" width="9.28515625" style="14" customWidth="1"/>
    <col min="7176" max="7176" width="11.85546875" style="14" customWidth="1"/>
    <col min="7177" max="7424" width="9.28515625" style="14" customWidth="1"/>
    <col min="7425" max="7425" width="6.7109375" style="14" customWidth="1"/>
    <col min="7426" max="7431" width="9.28515625" style="14" customWidth="1"/>
    <col min="7432" max="7432" width="11.85546875" style="14" customWidth="1"/>
    <col min="7433" max="7680" width="9.28515625" style="14" customWidth="1"/>
    <col min="7681" max="7681" width="6.7109375" style="14" customWidth="1"/>
    <col min="7682" max="7687" width="9.28515625" style="14" customWidth="1"/>
    <col min="7688" max="7688" width="11.85546875" style="14" customWidth="1"/>
    <col min="7689" max="7936" width="9.28515625" style="14" customWidth="1"/>
    <col min="7937" max="7937" width="6.7109375" style="14" customWidth="1"/>
    <col min="7938" max="7943" width="9.28515625" style="14" customWidth="1"/>
    <col min="7944" max="7944" width="11.85546875" style="14" customWidth="1"/>
    <col min="7945" max="8192" width="9.28515625" style="14" customWidth="1"/>
    <col min="8193" max="8193" width="6.7109375" style="14" customWidth="1"/>
    <col min="8194" max="8199" width="9.28515625" style="14" customWidth="1"/>
    <col min="8200" max="8200" width="11.85546875" style="14" customWidth="1"/>
    <col min="8201" max="8448" width="9.28515625" style="14" customWidth="1"/>
    <col min="8449" max="8449" width="6.7109375" style="14" customWidth="1"/>
    <col min="8450" max="8455" width="9.28515625" style="14" customWidth="1"/>
    <col min="8456" max="8456" width="11.85546875" style="14" customWidth="1"/>
    <col min="8457" max="8704" width="9.28515625" style="14" customWidth="1"/>
    <col min="8705" max="8705" width="6.7109375" style="14" customWidth="1"/>
    <col min="8706" max="8711" width="9.28515625" style="14" customWidth="1"/>
    <col min="8712" max="8712" width="11.85546875" style="14" customWidth="1"/>
    <col min="8713" max="8960" width="9.28515625" style="14" customWidth="1"/>
    <col min="8961" max="8961" width="6.7109375" style="14" customWidth="1"/>
    <col min="8962" max="8967" width="9.28515625" style="14" customWidth="1"/>
    <col min="8968" max="8968" width="11.85546875" style="14" customWidth="1"/>
    <col min="8969" max="9216" width="9.28515625" style="14" customWidth="1"/>
    <col min="9217" max="9217" width="6.7109375" style="14" customWidth="1"/>
    <col min="9218" max="9223" width="9.28515625" style="14" customWidth="1"/>
    <col min="9224" max="9224" width="11.85546875" style="14" customWidth="1"/>
    <col min="9225" max="9472" width="9.28515625" style="14" customWidth="1"/>
    <col min="9473" max="9473" width="6.7109375" style="14" customWidth="1"/>
    <col min="9474" max="9479" width="9.28515625" style="14" customWidth="1"/>
    <col min="9480" max="9480" width="11.85546875" style="14" customWidth="1"/>
    <col min="9481" max="9728" width="9.28515625" style="14" customWidth="1"/>
    <col min="9729" max="9729" width="6.7109375" style="14" customWidth="1"/>
    <col min="9730" max="9735" width="9.28515625" style="14" customWidth="1"/>
    <col min="9736" max="9736" width="11.85546875" style="14" customWidth="1"/>
    <col min="9737" max="9984" width="9.28515625" style="14" customWidth="1"/>
    <col min="9985" max="9985" width="6.7109375" style="14" customWidth="1"/>
    <col min="9986" max="9991" width="9.28515625" style="14" customWidth="1"/>
    <col min="9992" max="9992" width="11.85546875" style="14" customWidth="1"/>
    <col min="9993" max="10240" width="9.28515625" style="14" customWidth="1"/>
    <col min="10241" max="10241" width="6.7109375" style="14" customWidth="1"/>
    <col min="10242" max="10247" width="9.28515625" style="14" customWidth="1"/>
    <col min="10248" max="10248" width="11.85546875" style="14" customWidth="1"/>
    <col min="10249" max="10496" width="9.28515625" style="14" customWidth="1"/>
    <col min="10497" max="10497" width="6.7109375" style="14" customWidth="1"/>
    <col min="10498" max="10503" width="9.28515625" style="14" customWidth="1"/>
    <col min="10504" max="10504" width="11.85546875" style="14" customWidth="1"/>
    <col min="10505" max="10752" width="9.28515625" style="14" customWidth="1"/>
    <col min="10753" max="10753" width="6.7109375" style="14" customWidth="1"/>
    <col min="10754" max="10759" width="9.28515625" style="14" customWidth="1"/>
    <col min="10760" max="10760" width="11.85546875" style="14" customWidth="1"/>
    <col min="10761" max="11008" width="9.28515625" style="14" customWidth="1"/>
    <col min="11009" max="11009" width="6.7109375" style="14" customWidth="1"/>
    <col min="11010" max="11015" width="9.28515625" style="14" customWidth="1"/>
    <col min="11016" max="11016" width="11.85546875" style="14" customWidth="1"/>
    <col min="11017" max="11264" width="9.28515625" style="14" customWidth="1"/>
    <col min="11265" max="11265" width="6.7109375" style="14" customWidth="1"/>
    <col min="11266" max="11271" width="9.28515625" style="14" customWidth="1"/>
    <col min="11272" max="11272" width="11.85546875" style="14" customWidth="1"/>
    <col min="11273" max="11520" width="9.28515625" style="14" customWidth="1"/>
    <col min="11521" max="11521" width="6.7109375" style="14" customWidth="1"/>
    <col min="11522" max="11527" width="9.28515625" style="14" customWidth="1"/>
    <col min="11528" max="11528" width="11.85546875" style="14" customWidth="1"/>
    <col min="11529" max="11776" width="9.28515625" style="14" customWidth="1"/>
    <col min="11777" max="11777" width="6.7109375" style="14" customWidth="1"/>
    <col min="11778" max="11783" width="9.28515625" style="14" customWidth="1"/>
    <col min="11784" max="11784" width="11.85546875" style="14" customWidth="1"/>
    <col min="11785" max="12032" width="9.28515625" style="14" customWidth="1"/>
    <col min="12033" max="12033" width="6.7109375" style="14" customWidth="1"/>
    <col min="12034" max="12039" width="9.28515625" style="14" customWidth="1"/>
    <col min="12040" max="12040" width="11.85546875" style="14" customWidth="1"/>
    <col min="12041" max="12288" width="9.28515625" style="14" customWidth="1"/>
    <col min="12289" max="12289" width="6.7109375" style="14" customWidth="1"/>
    <col min="12290" max="12295" width="9.28515625" style="14" customWidth="1"/>
    <col min="12296" max="12296" width="11.85546875" style="14" customWidth="1"/>
    <col min="12297" max="12544" width="9.28515625" style="14" customWidth="1"/>
    <col min="12545" max="12545" width="6.7109375" style="14" customWidth="1"/>
    <col min="12546" max="12551" width="9.28515625" style="14" customWidth="1"/>
    <col min="12552" max="12552" width="11.85546875" style="14" customWidth="1"/>
    <col min="12553" max="12800" width="9.28515625" style="14" customWidth="1"/>
    <col min="12801" max="12801" width="6.7109375" style="14" customWidth="1"/>
    <col min="12802" max="12807" width="9.28515625" style="14" customWidth="1"/>
    <col min="12808" max="12808" width="11.85546875" style="14" customWidth="1"/>
    <col min="12809" max="13056" width="9.28515625" style="14" customWidth="1"/>
    <col min="13057" max="13057" width="6.7109375" style="14" customWidth="1"/>
    <col min="13058" max="13063" width="9.28515625" style="14" customWidth="1"/>
    <col min="13064" max="13064" width="11.85546875" style="14" customWidth="1"/>
    <col min="13065" max="13312" width="9.28515625" style="14" customWidth="1"/>
    <col min="13313" max="13313" width="6.7109375" style="14" customWidth="1"/>
    <col min="13314" max="13319" width="9.28515625" style="14" customWidth="1"/>
    <col min="13320" max="13320" width="11.85546875" style="14" customWidth="1"/>
    <col min="13321" max="13568" width="9.28515625" style="14" customWidth="1"/>
    <col min="13569" max="13569" width="6.7109375" style="14" customWidth="1"/>
    <col min="13570" max="13575" width="9.28515625" style="14" customWidth="1"/>
    <col min="13576" max="13576" width="11.85546875" style="14" customWidth="1"/>
    <col min="13577" max="13824" width="9.28515625" style="14" customWidth="1"/>
    <col min="13825" max="13825" width="6.7109375" style="14" customWidth="1"/>
    <col min="13826" max="13831" width="9.28515625" style="14" customWidth="1"/>
    <col min="13832" max="13832" width="11.85546875" style="14" customWidth="1"/>
    <col min="13833" max="14080" width="9.28515625" style="14" customWidth="1"/>
    <col min="14081" max="14081" width="6.7109375" style="14" customWidth="1"/>
    <col min="14082" max="14087" width="9.28515625" style="14" customWidth="1"/>
    <col min="14088" max="14088" width="11.85546875" style="14" customWidth="1"/>
    <col min="14089" max="14336" width="9.28515625" style="14" customWidth="1"/>
    <col min="14337" max="14337" width="6.7109375" style="14" customWidth="1"/>
    <col min="14338" max="14343" width="9.28515625" style="14" customWidth="1"/>
    <col min="14344" max="14344" width="11.85546875" style="14" customWidth="1"/>
    <col min="14345" max="14592" width="9.28515625" style="14" customWidth="1"/>
    <col min="14593" max="14593" width="6.7109375" style="14" customWidth="1"/>
    <col min="14594" max="14599" width="9.28515625" style="14" customWidth="1"/>
    <col min="14600" max="14600" width="11.85546875" style="14" customWidth="1"/>
    <col min="14601" max="14848" width="9.28515625" style="14" customWidth="1"/>
    <col min="14849" max="14849" width="6.7109375" style="14" customWidth="1"/>
    <col min="14850" max="14855" width="9.28515625" style="14" customWidth="1"/>
    <col min="14856" max="14856" width="11.85546875" style="14" customWidth="1"/>
    <col min="14857" max="15104" width="9.28515625" style="14" customWidth="1"/>
    <col min="15105" max="15105" width="6.7109375" style="14" customWidth="1"/>
    <col min="15106" max="15111" width="9.28515625" style="14" customWidth="1"/>
    <col min="15112" max="15112" width="11.85546875" style="14" customWidth="1"/>
    <col min="15113" max="15360" width="9.28515625" style="14" customWidth="1"/>
    <col min="15361" max="15361" width="6.7109375" style="14" customWidth="1"/>
    <col min="15362" max="15367" width="9.28515625" style="14" customWidth="1"/>
    <col min="15368" max="15368" width="11.85546875" style="14" customWidth="1"/>
    <col min="15369" max="15616" width="9.28515625" style="14" customWidth="1"/>
    <col min="15617" max="15617" width="6.7109375" style="14" customWidth="1"/>
    <col min="15618" max="15623" width="9.28515625" style="14" customWidth="1"/>
    <col min="15624" max="15624" width="11.85546875" style="14" customWidth="1"/>
    <col min="15625" max="15872" width="9.28515625" style="14" customWidth="1"/>
    <col min="15873" max="15873" width="6.7109375" style="14" customWidth="1"/>
    <col min="15874" max="15879" width="9.28515625" style="14" customWidth="1"/>
    <col min="15880" max="15880" width="11.85546875" style="14" customWidth="1"/>
    <col min="15881" max="16128" width="9.28515625" style="14" customWidth="1"/>
    <col min="16129" max="16129" width="6.7109375" style="14" customWidth="1"/>
    <col min="16130" max="16135" width="9.28515625" style="14" customWidth="1"/>
    <col min="16136" max="16136" width="11.85546875" style="14" customWidth="1"/>
    <col min="16137" max="16384" width="9.28515625" style="14" customWidth="1"/>
  </cols>
  <sheetData>
    <row r="1" spans="1:11" x14ac:dyDescent="0.25">
      <c r="A1" t="s">
        <v>294</v>
      </c>
      <c r="F1" s="14" t="s">
        <v>210</v>
      </c>
      <c r="I1" t="s">
        <v>295</v>
      </c>
    </row>
    <row r="2" spans="1:11" x14ac:dyDescent="0.25">
      <c r="A2" t="s">
        <v>0</v>
      </c>
      <c r="D2" s="14" t="s">
        <v>211</v>
      </c>
      <c r="I2" t="s">
        <v>296</v>
      </c>
    </row>
    <row r="3" spans="1:11" x14ac:dyDescent="0.25">
      <c r="A3" t="s">
        <v>1</v>
      </c>
      <c r="C3" s="310"/>
      <c r="I3" t="s">
        <v>2</v>
      </c>
    </row>
    <row r="4" spans="1:11" x14ac:dyDescent="0.25">
      <c r="A4" t="s">
        <v>3</v>
      </c>
      <c r="B4" s="15" t="s">
        <v>212</v>
      </c>
      <c r="C4" s="16"/>
      <c r="D4" s="16"/>
      <c r="E4" s="16" t="str">
        <f>'Survey report'!F12</f>
        <v>1103003122P113572944</v>
      </c>
      <c r="F4" s="16"/>
      <c r="G4" s="17"/>
      <c r="H4" s="16" t="s">
        <v>213</v>
      </c>
      <c r="I4" s="16" t="s">
        <v>4</v>
      </c>
      <c r="J4" s="16"/>
      <c r="K4" s="17"/>
    </row>
    <row r="5" spans="1:11" x14ac:dyDescent="0.25">
      <c r="B5" s="18" t="s">
        <v>214</v>
      </c>
      <c r="C5" s="19"/>
      <c r="D5" s="19"/>
      <c r="E5" s="19" t="str">
        <f>'Survey report'!F10</f>
        <v>NOT PRINTED</v>
      </c>
      <c r="F5" s="19"/>
      <c r="G5" s="20"/>
      <c r="H5" s="19" t="s">
        <v>182</v>
      </c>
      <c r="I5" s="16" t="str">
        <f>'Survey report'!F15</f>
        <v>AJAY SINGH</v>
      </c>
      <c r="J5" s="19"/>
      <c r="K5" s="20"/>
    </row>
    <row r="6" spans="1:11" x14ac:dyDescent="0.25">
      <c r="B6" s="18" t="s">
        <v>215</v>
      </c>
      <c r="C6" s="19"/>
      <c r="D6" s="19"/>
      <c r="E6" s="19" t="str">
        <f>'Survey report'!A1</f>
        <v>Jeewan deep Batta</v>
      </c>
      <c r="F6" s="19"/>
      <c r="G6" s="20"/>
      <c r="H6" s="19" t="s">
        <v>216</v>
      </c>
      <c r="I6" s="19" t="str">
        <f>'Survey report'!B6</f>
        <v>JDB/2026-27/PORTAL-254654</v>
      </c>
      <c r="J6" s="19"/>
      <c r="K6" s="20"/>
    </row>
    <row r="7" spans="1:11" x14ac:dyDescent="0.25">
      <c r="B7" s="18"/>
      <c r="C7" s="19"/>
      <c r="D7" s="19"/>
      <c r="E7" s="19"/>
      <c r="F7" s="19"/>
      <c r="G7" s="91"/>
      <c r="H7" s="19" t="s">
        <v>217</v>
      </c>
      <c r="I7" s="19" t="str">
        <f>'Survey report'!B6</f>
        <v>JDB/2026-27/PORTAL-254654</v>
      </c>
      <c r="J7" s="19"/>
      <c r="K7" s="91"/>
    </row>
    <row r="8" spans="1:11" s="22" customFormat="1" x14ac:dyDescent="0.25"/>
    <row r="9" spans="1:11" x14ac:dyDescent="0.25">
      <c r="B9" s="27">
        <v>1</v>
      </c>
      <c r="C9" s="14" t="s">
        <v>218</v>
      </c>
      <c r="H9" s="92" t="str">
        <f>'Survey report'!F60</f>
        <v>23/04/2023</v>
      </c>
    </row>
    <row r="10" spans="1:11" x14ac:dyDescent="0.25">
      <c r="B10" s="27"/>
    </row>
    <row r="11" spans="1:11" x14ac:dyDescent="0.25">
      <c r="B11" s="27">
        <v>2</v>
      </c>
      <c r="C11" s="14" t="s">
        <v>219</v>
      </c>
      <c r="H11" s="92">
        <f>'Survey report'!F64</f>
        <v>45041</v>
      </c>
    </row>
    <row r="12" spans="1:11" x14ac:dyDescent="0.25">
      <c r="B12" s="27"/>
      <c r="H12" s="92"/>
    </row>
    <row r="13" spans="1:11" x14ac:dyDescent="0.25">
      <c r="B13" s="27">
        <v>3</v>
      </c>
      <c r="C13" s="14" t="s">
        <v>220</v>
      </c>
      <c r="H13" s="92">
        <f>'Survey report'!F65</f>
        <v>45043</v>
      </c>
    </row>
    <row r="14" spans="1:11" x14ac:dyDescent="0.25">
      <c r="B14" s="27"/>
    </row>
    <row r="15" spans="1:11" x14ac:dyDescent="0.25">
      <c r="B15" s="27">
        <v>4</v>
      </c>
      <c r="C15" s="14" t="s">
        <v>221</v>
      </c>
      <c r="H15" s="92"/>
    </row>
    <row r="16" spans="1:11" x14ac:dyDescent="0.25">
      <c r="B16" s="27"/>
      <c r="H16" s="92"/>
    </row>
    <row r="17" spans="2:10" x14ac:dyDescent="0.25">
      <c r="B17" s="27">
        <v>5</v>
      </c>
      <c r="C17" s="14" t="s">
        <v>222</v>
      </c>
      <c r="H17" s="92" t="str">
        <f>'Survey report'!J6</f>
        <v>01/09/2026</v>
      </c>
    </row>
    <row r="18" spans="2:10" x14ac:dyDescent="0.25">
      <c r="B18" s="27"/>
      <c r="H18" s="92"/>
    </row>
    <row r="19" spans="2:10" x14ac:dyDescent="0.25">
      <c r="B19" s="27">
        <v>6</v>
      </c>
      <c r="C19" s="14" t="s">
        <v>223</v>
      </c>
      <c r="H19" s="92" t="str">
        <f>'Survey report'!J6</f>
        <v>01/09/2026</v>
      </c>
    </row>
    <row r="20" spans="2:10" x14ac:dyDescent="0.25">
      <c r="B20" s="27"/>
    </row>
    <row r="21" spans="2:10" x14ac:dyDescent="0.25">
      <c r="B21" s="27">
        <v>7</v>
      </c>
      <c r="C21" s="14" t="s">
        <v>224</v>
      </c>
      <c r="H21" s="309"/>
    </row>
    <row r="22" spans="2:10" s="22" customFormat="1" x14ac:dyDescent="0.25">
      <c r="B22" s="93"/>
    </row>
    <row r="23" spans="2:10" s="22" customFormat="1" ht="18" x14ac:dyDescent="0.35">
      <c r="B23" s="93">
        <v>8</v>
      </c>
      <c r="C23" s="107" t="s">
        <v>225</v>
      </c>
      <c r="D23" s="107"/>
      <c r="E23" s="107"/>
      <c r="F23" s="107"/>
      <c r="G23" s="107"/>
      <c r="H23" s="311"/>
      <c r="I23" s="94"/>
    </row>
    <row r="24" spans="2:10" x14ac:dyDescent="0.25">
      <c r="B24" s="27"/>
    </row>
    <row r="25" spans="2:10" x14ac:dyDescent="0.25">
      <c r="B25" s="27">
        <v>9</v>
      </c>
      <c r="C25" s="14" t="s">
        <v>226</v>
      </c>
      <c r="J25" s="14" t="s">
        <v>227</v>
      </c>
    </row>
    <row r="26" spans="2:10" x14ac:dyDescent="0.25">
      <c r="B26" s="27"/>
    </row>
    <row r="27" spans="2:10" x14ac:dyDescent="0.25">
      <c r="B27" s="27">
        <v>10</v>
      </c>
      <c r="C27" s="14" t="s">
        <v>228</v>
      </c>
    </row>
    <row r="28" spans="2:10" ht="18" x14ac:dyDescent="0.35">
      <c r="B28" s="27"/>
      <c r="C28" s="108" t="s">
        <v>229</v>
      </c>
      <c r="D28" s="108"/>
      <c r="E28" s="108"/>
      <c r="F28" s="108"/>
      <c r="G28" s="108"/>
      <c r="H28" s="109"/>
    </row>
    <row r="29" spans="2:10" x14ac:dyDescent="0.25">
      <c r="B29" s="27"/>
    </row>
    <row r="30" spans="2:10" x14ac:dyDescent="0.25">
      <c r="B30" s="27">
        <v>11</v>
      </c>
      <c r="C30" s="14" t="s">
        <v>230</v>
      </c>
    </row>
    <row r="31" spans="2:10" x14ac:dyDescent="0.25">
      <c r="B31" s="27"/>
    </row>
    <row r="32" spans="2:10" x14ac:dyDescent="0.25">
      <c r="B32" s="27" t="s">
        <v>231</v>
      </c>
      <c r="I32" s="14" t="str">
        <f>'Survey report'!A1</f>
        <v>Jeewan deep Batta</v>
      </c>
    </row>
    <row r="33" spans="2:11" x14ac:dyDescent="0.25">
      <c r="B33" s="27" t="s">
        <v>232</v>
      </c>
      <c r="C33" s="449" t="str">
        <f>'Survey report'!J6</f>
        <v>01/09/2026</v>
      </c>
      <c r="D33" s="449"/>
      <c r="I33" s="28" t="s">
        <v>233</v>
      </c>
    </row>
    <row r="34" spans="2:11" x14ac:dyDescent="0.25">
      <c r="B34" s="29"/>
      <c r="C34" s="25"/>
      <c r="D34" s="25"/>
      <c r="E34" s="25"/>
      <c r="F34" s="25"/>
      <c r="G34" s="25"/>
      <c r="H34" s="25"/>
      <c r="I34" s="25"/>
      <c r="J34" s="25"/>
      <c r="K34" s="25"/>
    </row>
    <row r="35" spans="2:11" ht="3" customHeight="1" x14ac:dyDescent="0.25">
      <c r="B35" s="19"/>
      <c r="C35" s="19"/>
      <c r="D35" s="19"/>
      <c r="E35" s="19"/>
      <c r="F35" s="19"/>
      <c r="G35" s="19"/>
      <c r="H35" s="19"/>
      <c r="I35" s="19"/>
      <c r="J35" s="19"/>
      <c r="K35" s="19"/>
    </row>
    <row r="36" spans="2:11" x14ac:dyDescent="0.25">
      <c r="B36" s="30" t="s">
        <v>234</v>
      </c>
    </row>
    <row r="38" spans="2:11" x14ac:dyDescent="0.25">
      <c r="B38" s="14" t="s">
        <v>235</v>
      </c>
    </row>
    <row r="39" spans="2:11" x14ac:dyDescent="0.25">
      <c r="B39" s="15"/>
      <c r="C39" s="31" t="s">
        <v>236</v>
      </c>
      <c r="D39" s="32"/>
      <c r="E39" s="32"/>
      <c r="F39" s="32"/>
      <c r="G39" s="33"/>
      <c r="H39" s="443" t="s">
        <v>237</v>
      </c>
      <c r="I39" s="444"/>
      <c r="J39" s="445"/>
      <c r="K39" s="34" t="s">
        <v>238</v>
      </c>
    </row>
    <row r="40" spans="2:11" x14ac:dyDescent="0.25">
      <c r="B40" s="21"/>
      <c r="C40" s="35"/>
      <c r="D40" s="36"/>
      <c r="E40" s="36"/>
      <c r="F40" s="36"/>
      <c r="G40" s="37"/>
      <c r="H40" s="446" t="s">
        <v>239</v>
      </c>
      <c r="I40" s="447"/>
      <c r="J40" s="448"/>
      <c r="K40" s="38"/>
    </row>
    <row r="41" spans="2:11" x14ac:dyDescent="0.25">
      <c r="B41" s="15"/>
      <c r="C41" s="15" t="s">
        <v>240</v>
      </c>
      <c r="D41" s="16"/>
      <c r="E41" s="16"/>
      <c r="F41" s="16"/>
      <c r="G41" s="17"/>
      <c r="H41" s="16"/>
      <c r="I41" s="16"/>
      <c r="J41" s="16"/>
      <c r="K41" s="39" t="s">
        <v>241</v>
      </c>
    </row>
    <row r="42" spans="2:11" x14ac:dyDescent="0.25">
      <c r="B42" s="24"/>
      <c r="C42" s="24" t="s">
        <v>242</v>
      </c>
      <c r="D42" s="25"/>
      <c r="E42" s="25"/>
      <c r="F42" s="25"/>
      <c r="G42" s="26"/>
      <c r="H42" s="25"/>
      <c r="I42" s="25"/>
      <c r="J42" s="25"/>
      <c r="K42" s="40"/>
    </row>
    <row r="43" spans="2:11" ht="6.75" customHeight="1" x14ac:dyDescent="0.25">
      <c r="B43" s="21"/>
      <c r="C43" s="21"/>
      <c r="D43" s="22"/>
      <c r="E43" s="22"/>
      <c r="F43" s="22"/>
      <c r="G43" s="23"/>
      <c r="H43" s="22"/>
      <c r="I43" s="22"/>
      <c r="J43" s="22"/>
      <c r="K43" s="41"/>
    </row>
    <row r="44" spans="2:11" x14ac:dyDescent="0.25">
      <c r="B44" s="21"/>
      <c r="C44" s="21" t="s">
        <v>243</v>
      </c>
      <c r="D44" s="22"/>
      <c r="E44" s="22"/>
      <c r="F44" s="22"/>
      <c r="G44" s="23"/>
      <c r="H44" s="22"/>
      <c r="I44" s="22"/>
      <c r="J44" s="22"/>
      <c r="K44" s="41" t="s">
        <v>241</v>
      </c>
    </row>
    <row r="45" spans="2:11" x14ac:dyDescent="0.25">
      <c r="B45" s="21"/>
      <c r="C45" s="21" t="s">
        <v>244</v>
      </c>
      <c r="D45" s="22"/>
      <c r="E45" s="22"/>
      <c r="F45" s="22"/>
      <c r="G45" s="23"/>
      <c r="H45" s="22"/>
      <c r="I45" s="22"/>
      <c r="J45" s="22"/>
      <c r="K45" s="41"/>
    </row>
    <row r="46" spans="2:11" ht="6.75" customHeight="1" x14ac:dyDescent="0.25">
      <c r="B46" s="21"/>
      <c r="C46" s="21"/>
      <c r="D46" s="22"/>
      <c r="E46" s="22"/>
      <c r="F46" s="22"/>
      <c r="G46" s="23"/>
      <c r="H46" s="22"/>
      <c r="I46" s="22"/>
      <c r="J46" s="22"/>
      <c r="K46" s="41"/>
    </row>
    <row r="47" spans="2:11" x14ac:dyDescent="0.25">
      <c r="B47" s="18"/>
      <c r="C47" s="18" t="s">
        <v>245</v>
      </c>
      <c r="D47" s="19"/>
      <c r="E47" s="19"/>
      <c r="F47" s="19"/>
      <c r="G47" s="20"/>
      <c r="H47" s="19"/>
      <c r="I47" s="19"/>
      <c r="J47" s="19"/>
      <c r="K47" s="42" t="s">
        <v>241</v>
      </c>
    </row>
    <row r="48" spans="2:11" x14ac:dyDescent="0.25">
      <c r="B48" s="18"/>
      <c r="C48" s="18" t="s">
        <v>246</v>
      </c>
      <c r="D48" s="19"/>
      <c r="E48" s="19"/>
      <c r="F48" s="19"/>
      <c r="G48" s="20"/>
      <c r="H48" s="19"/>
      <c r="I48" s="19"/>
      <c r="J48" s="19"/>
      <c r="K48" s="42" t="s">
        <v>241</v>
      </c>
    </row>
    <row r="49" spans="2:11" x14ac:dyDescent="0.25">
      <c r="B49" s="24"/>
      <c r="C49" s="24" t="s">
        <v>247</v>
      </c>
      <c r="D49" s="25"/>
      <c r="E49" s="25"/>
      <c r="F49" s="25"/>
      <c r="G49" s="26"/>
      <c r="H49" s="25"/>
      <c r="I49" s="25"/>
      <c r="J49" s="25"/>
      <c r="K49" s="40" t="s">
        <v>241</v>
      </c>
    </row>
    <row r="51" spans="2:11" x14ac:dyDescent="0.25">
      <c r="B51" s="14" t="s">
        <v>248</v>
      </c>
    </row>
    <row r="53" spans="2:11" x14ac:dyDescent="0.25">
      <c r="B53" s="14" t="s">
        <v>249</v>
      </c>
      <c r="E53" s="14" t="s">
        <v>250</v>
      </c>
      <c r="G53" s="14" t="s">
        <v>251</v>
      </c>
      <c r="I53" s="14" t="s">
        <v>252</v>
      </c>
    </row>
    <row r="55" spans="2:11" x14ac:dyDescent="0.25">
      <c r="B55" s="14" t="s">
        <v>253</v>
      </c>
    </row>
  </sheetData>
  <mergeCells count="3">
    <mergeCell ref="H39:J39"/>
    <mergeCell ref="H40:J40"/>
    <mergeCell ref="C33:D33"/>
  </mergeCells>
  <pageMargins left="0.70866141732283472" right="0.70866141732283472" top="0.55118110236220474" bottom="0.55118110236220474" header="0.31496062992125984" footer="0.3149606299212598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Survey report</vt:lpstr>
      <vt:lpstr>Survey fee Bill</vt:lpstr>
      <vt:lpstr>Re-inspection</vt:lpstr>
      <vt:lpstr>Total Loss</vt:lpstr>
      <vt:lpstr>Appraisal</vt:lpstr>
      <vt:lpstr>Appraisal!Print_Area</vt:lpstr>
      <vt:lpstr>'Survey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DHIRAJ JADAV</cp:lastModifiedBy>
  <cp:lastPrinted>2026-08-25T15:16:25Z</cp:lastPrinted>
  <dcterms:created xsi:type="dcterms:W3CDTF">2026-08-25T11:07:27Z</dcterms:created>
  <dcterms:modified xsi:type="dcterms:W3CDTF">2026-09-13T19:58:18Z</dcterms:modified>
</cp:coreProperties>
</file>